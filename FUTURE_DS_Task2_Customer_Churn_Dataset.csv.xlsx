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1fdeeb8caf7058/Documents/"/>
    </mc:Choice>
  </mc:AlternateContent>
  <xr:revisionPtr revIDLastSave="163" documentId="8_{794E5F83-415B-4989-877C-150684789422}" xr6:coauthVersionLast="47" xr6:coauthVersionMax="47" xr10:uidLastSave="{DF4511DF-D02E-4CAA-BC6C-BA25EA0F3AE2}"/>
  <bookViews>
    <workbookView xWindow="11424" yWindow="0" windowWidth="11712" windowHeight="12336" activeTab="3" xr2:uid="{AF7981AC-45F0-4C51-9429-9F6B729E7CFC}"/>
  </bookViews>
  <sheets>
    <sheet name="Sheet2" sheetId="3" r:id="rId1"/>
    <sheet name="Sheet3" sheetId="4" r:id="rId2"/>
    <sheet name="Sheet4" sheetId="5" r:id="rId3"/>
    <sheet name="Sheet1" sheetId="6" r:id="rId4"/>
    <sheet name="FUTURE_DS_Task2_Customer_Churn_" sheetId="1" r:id="rId5"/>
  </sheets>
  <calcPr calcId="191029"/>
  <pivotCaches>
    <pivotCache cacheId="0" r:id="rId6"/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7" i="1"/>
  <c r="P2" i="1"/>
  <c r="N5" i="1"/>
  <c r="L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J6" i="1"/>
</calcChain>
</file>

<file path=xl/sharedStrings.xml><?xml version="1.0" encoding="utf-8"?>
<sst xmlns="http://schemas.openxmlformats.org/spreadsheetml/2006/main" count="449" uniqueCount="134">
  <si>
    <t>CustomerID</t>
  </si>
  <si>
    <t>Gender</t>
  </si>
  <si>
    <t>Age</t>
  </si>
  <si>
    <t>SubscriptionType</t>
  </si>
  <si>
    <t>MonthlyCharges</t>
  </si>
  <si>
    <t>TenureMonths</t>
  </si>
  <si>
    <t>Churn</t>
  </si>
  <si>
    <t>C001</t>
  </si>
  <si>
    <t>Male</t>
  </si>
  <si>
    <t>Premium</t>
  </si>
  <si>
    <t>No</t>
  </si>
  <si>
    <t>C002</t>
  </si>
  <si>
    <t>C003</t>
  </si>
  <si>
    <t>Basic</t>
  </si>
  <si>
    <t>C004</t>
  </si>
  <si>
    <t>C005</t>
  </si>
  <si>
    <t>Female</t>
  </si>
  <si>
    <t>C006</t>
  </si>
  <si>
    <t>Standard</t>
  </si>
  <si>
    <t>Yes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</si>
  <si>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</si>
  <si>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</si>
  <si>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</si>
  <si>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</si>
  <si>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</si>
  <si>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</si>
  <si>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</si>
  <si>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</si>
  <si>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</si>
  <si>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</si>
  <si>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</si>
  <si>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</si>
  <si>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</si>
  <si>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</si>
  <si>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</si>
  <si>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</si>
  <si>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</si>
  <si>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</si>
  <si>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</si>
  <si>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</si>
  <si>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</si>
  <si>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</si>
  <si>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</si>
  <si>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</si>
  <si>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</si>
  <si>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</si>
  <si>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</si>
  <si>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</si>
  <si>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</si>
  <si>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</si>
  <si>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</si>
  <si>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</si>
  <si>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</si>
  <si>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</si>
  <si>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</si>
  <si>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</si>
  <si>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</si>
  <si>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</si>
  <si>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</si>
  <si>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</si>
  <si>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</si>
  <si>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</si>
  <si>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</si>
  <si>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</si>
  <si>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</si>
  <si>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</si>
  <si>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</si>
  <si>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</si>
  <si>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</si>
  <si>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</si>
  <si>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</si>
  <si>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</si>
  <si>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</si>
  <si>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</si>
  <si>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</si>
  <si>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</si>
  <si>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</si>
  <si>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</si>
  <si>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</si>
  <si>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</si>
  <si>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</si>
  <si>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</si>
  <si>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</si>
  <si>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</si>
  <si>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</si>
  <si>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</si>
  <si>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</si>
  <si>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</si>
  <si>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</si>
  <si>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</si>
  <si>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</si>
  <si>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</si>
  <si>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</si>
  <si>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</si>
  <si>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</si>
  <si>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</si>
  <si>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</si>
  <si>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</si>
  <si>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</si>
  <si>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</si>
  <si>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</si>
  <si>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</si>
  <si>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</si>
  <si>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</si>
  <si>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</si>
  <si>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</si>
  <si>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</si>
  <si>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</si>
  <si>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</si>
  <si>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</si>
  <si>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</si>
  <si>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</si>
  <si>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</si>
  <si>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</si>
  <si>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TOTAL CUSTOMERS</t>
  </si>
  <si>
    <t>NO</t>
  </si>
  <si>
    <t>TOTAL CHURNED CUSTOMERS</t>
  </si>
  <si>
    <t>Row Labels</t>
  </si>
  <si>
    <t>Grand Total</t>
  </si>
  <si>
    <t>Column Labels</t>
  </si>
  <si>
    <t>Count of CustomerID</t>
  </si>
  <si>
    <t>Tenure Group</t>
  </si>
  <si>
    <t>12+ Months</t>
  </si>
  <si>
    <t>4-6 Months</t>
  </si>
  <si>
    <t>0-3 Months</t>
  </si>
  <si>
    <t>7-12 Months</t>
  </si>
  <si>
    <t>AVERAGE MONTHLY CHARGES</t>
  </si>
  <si>
    <t>AVERAGE TENURE</t>
  </si>
  <si>
    <t>CLV</t>
  </si>
  <si>
    <t>Total Customers</t>
  </si>
  <si>
    <t>Churn %</t>
  </si>
  <si>
    <t>Retention %</t>
  </si>
  <si>
    <t>CHURN RATE</t>
  </si>
  <si>
    <t>RETENTION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</si>
</sst>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[FUTURE_DS_Task2_Customer_Churn_Dataset.csv.xlsx]Sheet2!PivotTable3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25</c:v>
                </c:pt>
                <c:pt idx="1">
                  <c:v>26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9-436E-B300-ADAD747F83E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9-436E-B300-ADAD747F8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3481087"/>
        <c:axId val="853486367"/>
      </c:barChart>
      <c:catAx>
        <c:axId val="8534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86367"/>
        <c:crosses val="autoZero"/>
        <c:auto val="1"/>
        <c:lblAlgn val="ctr"/>
        <c:lblOffset val="100"/>
        <c:noMultiLvlLbl val="0"/>
      </c:catAx>
      <c:valAx>
        <c:axId val="8534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8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[FUTURE_DS_Task2_Customer_Churn_Dataset.csv.xlsx]Sheet3!PivotTable4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36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F-49E7-8509-DC5A2859A6D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13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FF-49E7-8509-DC5A2859A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[FUTURE_DS_Task2_Customer_Churn_Dataset.csv.xlsx]Sheet4!PivotTable5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580927384076992E-2"/>
          <c:y val="0.18879410906969962"/>
          <c:w val="0.76755796150481193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12+ Months</c:v>
                </c:pt>
                <c:pt idx="1">
                  <c:v>4-6 Months</c:v>
                </c:pt>
                <c:pt idx="2">
                  <c:v>0-3 Months</c:v>
                </c:pt>
                <c:pt idx="3">
                  <c:v>7-12 Months</c:v>
                </c:pt>
              </c:strCache>
            </c:strRef>
          </c:cat>
          <c:val>
            <c:numRef>
              <c:f>Sheet4!$B$5:$B$9</c:f>
              <c:numCache>
                <c:formatCode>General</c:formatCode>
                <c:ptCount val="4"/>
                <c:pt idx="0">
                  <c:v>52</c:v>
                </c:pt>
                <c:pt idx="1">
                  <c:v>11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6-49A7-866A-1F3ECF3FE43E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Sheet4!$A$5:$A$9</c:f>
              <c:strCache>
                <c:ptCount val="4"/>
                <c:pt idx="0">
                  <c:v>12+ Months</c:v>
                </c:pt>
                <c:pt idx="1">
                  <c:v>4-6 Months</c:v>
                </c:pt>
                <c:pt idx="2">
                  <c:v>0-3 Months</c:v>
                </c:pt>
                <c:pt idx="3">
                  <c:v>7-12 Months</c:v>
                </c:pt>
              </c:strCache>
            </c:strRef>
          </c:cat>
          <c:val>
            <c:numRef>
              <c:f>Sheet4!$C$5:$C$9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6-49A7-866A-1F3ECF3FE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282943"/>
        <c:axId val="819280063"/>
      </c:barChart>
      <c:catAx>
        <c:axId val="81928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280063"/>
        <c:crosses val="autoZero"/>
        <c:auto val="1"/>
        <c:lblAlgn val="ctr"/>
        <c:lblOffset val="100"/>
        <c:noMultiLvlLbl val="0"/>
      </c:catAx>
      <c:valAx>
        <c:axId val="8192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28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345650</xdr:colOff>
      <xdr:row>9</xdr:row>
      <xdr:rowOff>77771</xdr:rowOff>
    </xdr:from>
    <xdr:to>
      <xdr:col>6</xdr:col>
      <xdr:colOff>282805</xdr:colOff>
      <xdr:row>24</xdr:row>
      <xdr:rowOff>110765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0FFA9-DE42-E6FB-3712-72C079D3A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7</xdr:row>
      <xdr:rowOff>152400</xdr:rowOff>
    </xdr:from>
    <xdr:to>
      <xdr:col>6</xdr:col>
      <xdr:colOff>45726</xdr:colOff>
      <xdr:row>24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A9B28-6DF2-E171-AFDF-01B7FA6E5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328246</xdr:colOff>
      <xdr:row>10</xdr:row>
      <xdr:rowOff>164123</xdr:rowOff>
    </xdr:from>
    <xdr:to>
      <xdr:col>7</xdr:col>
      <xdr:colOff>427892</xdr:colOff>
      <xdr:row>29</xdr:row>
      <xdr:rowOff>140676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0950F-3433-B793-F0C5-8A245128C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ka" refreshedDate="46076.898976041666" createdVersion="8" refreshedVersion="8" minRefreshableVersion="3" recordCount="100" xr:uid="{D48EA64D-FBFA-4F70-B021-78A771701493}">
  <cacheSource type="worksheet">
    <worksheetSource ref="A1:G101" sheet="FUTURE_DS_Task2_Customer_Churn_"/>
  </cacheSource>
  <cacheFields count="7">
    <cacheField name="CustomerID" numFmtId="0">
      <sharedItems count="1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50"/>
    </cacheField>
    <cacheField name="SubscriptionType" numFmtId="0">
      <sharedItems count="3">
        <s v="Premium"/>
        <s v="Basic"/>
        <s v="Standard"/>
      </sharedItems>
    </cacheField>
    <cacheField name="MonthlyCharges" numFmtId="0">
      <sharedItems containsSemiMixedTypes="0" containsString="0" containsNumber="1" containsInteger="1" minValue="499" maxValue="1199"/>
    </cacheField>
    <cacheField name="TenureMonths" numFmtId="0">
      <sharedItems containsSemiMixedTypes="0" containsString="0" containsNumber="1" containsInteger="1" minValue="1" maxValue="36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nka" refreshedDate="46077.777318402776" createdVersion="8" refreshedVersion="8" minRefreshableVersion="3" recordCount="100" xr:uid="{F66A0993-D04C-4109-807F-673833FFACB6}">
  <cacheSource type="worksheet">
    <worksheetSource ref="A1:H101" sheet="FUTURE_DS_Task2_Customer_Churn_"/>
  </cacheSource>
  <cacheFields count="8">
    <cacheField name="Customer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50"/>
    </cacheField>
    <cacheField name="SubscriptionType" numFmtId="0">
      <sharedItems/>
    </cacheField>
    <cacheField name="MonthlyCharges" numFmtId="0">
      <sharedItems containsSemiMixedTypes="0" containsString="0" containsNumber="1" containsInteger="1" minValue="499" maxValue="1199"/>
    </cacheField>
    <cacheField name="TenureMonths" numFmtId="0">
      <sharedItems containsSemiMixedTypes="0" containsString="0" containsNumber="1" containsInteger="1" minValue="1" maxValue="36"/>
    </cacheField>
    <cacheField name="Churn" numFmtId="0">
      <sharedItems count="2">
        <s v="NO"/>
        <s v="Yes"/>
      </sharedItems>
    </cacheField>
    <cacheField name="Tenure Group" numFmtId="0">
      <sharedItems containsBlank="1" count="5">
        <s v="12+ Months"/>
        <s v="4-6 Months"/>
        <s v="0-3 Months"/>
        <s v="7-12 Months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21"/>
    <x v="0"/>
    <n v="1099"/>
    <n v="16"/>
    <x v="0"/>
  </r>
  <r>
    <x v="1"/>
    <x v="0"/>
    <n v="42"/>
    <x v="0"/>
    <n v="1199"/>
    <n v="6"/>
    <x v="0"/>
  </r>
  <r>
    <x v="2"/>
    <x v="0"/>
    <n v="21"/>
    <x v="1"/>
    <n v="499"/>
    <n v="15"/>
    <x v="0"/>
  </r>
  <r>
    <x v="3"/>
    <x v="0"/>
    <n v="38"/>
    <x v="1"/>
    <n v="599"/>
    <n v="15"/>
    <x v="0"/>
  </r>
  <r>
    <x v="4"/>
    <x v="1"/>
    <n v="46"/>
    <x v="1"/>
    <n v="499"/>
    <n v="28"/>
    <x v="0"/>
  </r>
  <r>
    <x v="5"/>
    <x v="0"/>
    <n v="27"/>
    <x v="2"/>
    <n v="699"/>
    <n v="6"/>
    <x v="1"/>
  </r>
  <r>
    <x v="6"/>
    <x v="1"/>
    <n v="48"/>
    <x v="2"/>
    <n v="799"/>
    <n v="3"/>
    <x v="0"/>
  </r>
  <r>
    <x v="7"/>
    <x v="0"/>
    <n v="50"/>
    <x v="2"/>
    <n v="699"/>
    <n v="36"/>
    <x v="0"/>
  </r>
  <r>
    <x v="8"/>
    <x v="1"/>
    <n v="39"/>
    <x v="1"/>
    <n v="499"/>
    <n v="3"/>
    <x v="1"/>
  </r>
  <r>
    <x v="9"/>
    <x v="1"/>
    <n v="23"/>
    <x v="1"/>
    <n v="499"/>
    <n v="25"/>
    <x v="0"/>
  </r>
  <r>
    <x v="10"/>
    <x v="1"/>
    <n v="26"/>
    <x v="2"/>
    <n v="799"/>
    <n v="14"/>
    <x v="0"/>
  </r>
  <r>
    <x v="11"/>
    <x v="0"/>
    <n v="40"/>
    <x v="0"/>
    <n v="999"/>
    <n v="35"/>
    <x v="0"/>
  </r>
  <r>
    <x v="12"/>
    <x v="0"/>
    <n v="35"/>
    <x v="2"/>
    <n v="799"/>
    <n v="36"/>
    <x v="0"/>
  </r>
  <r>
    <x v="13"/>
    <x v="1"/>
    <n v="47"/>
    <x v="1"/>
    <n v="499"/>
    <n v="3"/>
    <x v="0"/>
  </r>
  <r>
    <x v="14"/>
    <x v="1"/>
    <n v="29"/>
    <x v="1"/>
    <n v="499"/>
    <n v="21"/>
    <x v="0"/>
  </r>
  <r>
    <x v="15"/>
    <x v="1"/>
    <n v="33"/>
    <x v="0"/>
    <n v="1099"/>
    <n v="10"/>
    <x v="1"/>
  </r>
  <r>
    <x v="16"/>
    <x v="0"/>
    <n v="44"/>
    <x v="0"/>
    <n v="1199"/>
    <n v="17"/>
    <x v="0"/>
  </r>
  <r>
    <x v="17"/>
    <x v="1"/>
    <n v="49"/>
    <x v="0"/>
    <n v="1099"/>
    <n v="24"/>
    <x v="0"/>
  </r>
  <r>
    <x v="18"/>
    <x v="0"/>
    <n v="37"/>
    <x v="2"/>
    <n v="699"/>
    <n v="4"/>
    <x v="0"/>
  </r>
  <r>
    <x v="19"/>
    <x v="0"/>
    <n v="41"/>
    <x v="1"/>
    <n v="599"/>
    <n v="5"/>
    <x v="1"/>
  </r>
  <r>
    <x v="20"/>
    <x v="1"/>
    <n v="37"/>
    <x v="2"/>
    <n v="699"/>
    <n v="8"/>
    <x v="0"/>
  </r>
  <r>
    <x v="21"/>
    <x v="1"/>
    <n v="45"/>
    <x v="0"/>
    <n v="1099"/>
    <n v="8"/>
    <x v="1"/>
  </r>
  <r>
    <x v="22"/>
    <x v="0"/>
    <n v="35"/>
    <x v="1"/>
    <n v="599"/>
    <n v="33"/>
    <x v="0"/>
  </r>
  <r>
    <x v="23"/>
    <x v="0"/>
    <n v="48"/>
    <x v="0"/>
    <n v="1099"/>
    <n v="33"/>
    <x v="0"/>
  </r>
  <r>
    <x v="24"/>
    <x v="0"/>
    <n v="32"/>
    <x v="1"/>
    <n v="499"/>
    <n v="21"/>
    <x v="0"/>
  </r>
  <r>
    <x v="25"/>
    <x v="0"/>
    <n v="50"/>
    <x v="2"/>
    <n v="799"/>
    <n v="16"/>
    <x v="1"/>
  </r>
  <r>
    <x v="26"/>
    <x v="0"/>
    <n v="23"/>
    <x v="0"/>
    <n v="1099"/>
    <n v="5"/>
    <x v="0"/>
  </r>
  <r>
    <x v="27"/>
    <x v="0"/>
    <n v="25"/>
    <x v="0"/>
    <n v="1099"/>
    <n v="36"/>
    <x v="1"/>
  </r>
  <r>
    <x v="28"/>
    <x v="1"/>
    <n v="27"/>
    <x v="0"/>
    <n v="1199"/>
    <n v="13"/>
    <x v="0"/>
  </r>
  <r>
    <x v="29"/>
    <x v="1"/>
    <n v="42"/>
    <x v="0"/>
    <n v="1099"/>
    <n v="29"/>
    <x v="0"/>
  </r>
  <r>
    <x v="30"/>
    <x v="1"/>
    <n v="24"/>
    <x v="1"/>
    <n v="499"/>
    <n v="5"/>
    <x v="1"/>
  </r>
  <r>
    <x v="31"/>
    <x v="0"/>
    <n v="39"/>
    <x v="1"/>
    <n v="499"/>
    <n v="5"/>
    <x v="0"/>
  </r>
  <r>
    <x v="32"/>
    <x v="0"/>
    <n v="28"/>
    <x v="1"/>
    <n v="499"/>
    <n v="22"/>
    <x v="1"/>
  </r>
  <r>
    <x v="33"/>
    <x v="0"/>
    <n v="29"/>
    <x v="0"/>
    <n v="1099"/>
    <n v="14"/>
    <x v="0"/>
  </r>
  <r>
    <x v="34"/>
    <x v="1"/>
    <n v="28"/>
    <x v="2"/>
    <n v="799"/>
    <n v="13"/>
    <x v="1"/>
  </r>
  <r>
    <x v="35"/>
    <x v="1"/>
    <n v="32"/>
    <x v="2"/>
    <n v="799"/>
    <n v="30"/>
    <x v="0"/>
  </r>
  <r>
    <x v="36"/>
    <x v="0"/>
    <n v="42"/>
    <x v="0"/>
    <n v="1199"/>
    <n v="7"/>
    <x v="1"/>
  </r>
  <r>
    <x v="37"/>
    <x v="1"/>
    <n v="46"/>
    <x v="1"/>
    <n v="499"/>
    <n v="13"/>
    <x v="1"/>
  </r>
  <r>
    <x v="38"/>
    <x v="1"/>
    <n v="25"/>
    <x v="2"/>
    <n v="699"/>
    <n v="18"/>
    <x v="0"/>
  </r>
  <r>
    <x v="39"/>
    <x v="0"/>
    <n v="35"/>
    <x v="0"/>
    <n v="999"/>
    <n v="4"/>
    <x v="0"/>
  </r>
  <r>
    <x v="40"/>
    <x v="0"/>
    <n v="23"/>
    <x v="1"/>
    <n v="499"/>
    <n v="27"/>
    <x v="0"/>
  </r>
  <r>
    <x v="41"/>
    <x v="0"/>
    <n v="48"/>
    <x v="2"/>
    <n v="699"/>
    <n v="11"/>
    <x v="1"/>
  </r>
  <r>
    <x v="42"/>
    <x v="1"/>
    <n v="29"/>
    <x v="2"/>
    <n v="799"/>
    <n v="28"/>
    <x v="0"/>
  </r>
  <r>
    <x v="43"/>
    <x v="1"/>
    <n v="25"/>
    <x v="1"/>
    <n v="599"/>
    <n v="14"/>
    <x v="0"/>
  </r>
  <r>
    <x v="44"/>
    <x v="0"/>
    <n v="44"/>
    <x v="2"/>
    <n v="699"/>
    <n v="4"/>
    <x v="0"/>
  </r>
  <r>
    <x v="45"/>
    <x v="0"/>
    <n v="22"/>
    <x v="0"/>
    <n v="999"/>
    <n v="12"/>
    <x v="1"/>
  </r>
  <r>
    <x v="46"/>
    <x v="0"/>
    <n v="42"/>
    <x v="1"/>
    <n v="599"/>
    <n v="8"/>
    <x v="0"/>
  </r>
  <r>
    <x v="47"/>
    <x v="0"/>
    <n v="39"/>
    <x v="0"/>
    <n v="999"/>
    <n v="6"/>
    <x v="0"/>
  </r>
  <r>
    <x v="48"/>
    <x v="1"/>
    <n v="50"/>
    <x v="2"/>
    <n v="699"/>
    <n v="21"/>
    <x v="0"/>
  </r>
  <r>
    <x v="49"/>
    <x v="1"/>
    <n v="25"/>
    <x v="0"/>
    <n v="1199"/>
    <n v="20"/>
    <x v="0"/>
  </r>
  <r>
    <x v="50"/>
    <x v="0"/>
    <n v="21"/>
    <x v="2"/>
    <n v="699"/>
    <n v="5"/>
    <x v="0"/>
  </r>
  <r>
    <x v="51"/>
    <x v="1"/>
    <n v="25"/>
    <x v="2"/>
    <n v="699"/>
    <n v="16"/>
    <x v="0"/>
  </r>
  <r>
    <x v="52"/>
    <x v="0"/>
    <n v="35"/>
    <x v="0"/>
    <n v="1199"/>
    <n v="20"/>
    <x v="0"/>
  </r>
  <r>
    <x v="53"/>
    <x v="0"/>
    <n v="42"/>
    <x v="0"/>
    <n v="1099"/>
    <n v="7"/>
    <x v="0"/>
  </r>
  <r>
    <x v="54"/>
    <x v="0"/>
    <n v="29"/>
    <x v="1"/>
    <n v="499"/>
    <n v="36"/>
    <x v="1"/>
  </r>
  <r>
    <x v="55"/>
    <x v="1"/>
    <n v="40"/>
    <x v="1"/>
    <n v="599"/>
    <n v="14"/>
    <x v="0"/>
  </r>
  <r>
    <x v="56"/>
    <x v="1"/>
    <n v="37"/>
    <x v="2"/>
    <n v="799"/>
    <n v="4"/>
    <x v="1"/>
  </r>
  <r>
    <x v="57"/>
    <x v="1"/>
    <n v="47"/>
    <x v="2"/>
    <n v="699"/>
    <n v="1"/>
    <x v="1"/>
  </r>
  <r>
    <x v="58"/>
    <x v="0"/>
    <n v="41"/>
    <x v="2"/>
    <n v="699"/>
    <n v="29"/>
    <x v="0"/>
  </r>
  <r>
    <x v="59"/>
    <x v="1"/>
    <n v="38"/>
    <x v="1"/>
    <n v="499"/>
    <n v="5"/>
    <x v="0"/>
  </r>
  <r>
    <x v="60"/>
    <x v="0"/>
    <n v="38"/>
    <x v="1"/>
    <n v="599"/>
    <n v="36"/>
    <x v="1"/>
  </r>
  <r>
    <x v="61"/>
    <x v="0"/>
    <n v="22"/>
    <x v="2"/>
    <n v="799"/>
    <n v="3"/>
    <x v="0"/>
  </r>
  <r>
    <x v="62"/>
    <x v="0"/>
    <n v="42"/>
    <x v="1"/>
    <n v="499"/>
    <n v="23"/>
    <x v="0"/>
  </r>
  <r>
    <x v="63"/>
    <x v="1"/>
    <n v="40"/>
    <x v="0"/>
    <n v="999"/>
    <n v="16"/>
    <x v="0"/>
  </r>
  <r>
    <x v="64"/>
    <x v="0"/>
    <n v="49"/>
    <x v="2"/>
    <n v="699"/>
    <n v="12"/>
    <x v="0"/>
  </r>
  <r>
    <x v="65"/>
    <x v="1"/>
    <n v="46"/>
    <x v="2"/>
    <n v="699"/>
    <n v="18"/>
    <x v="1"/>
  </r>
  <r>
    <x v="66"/>
    <x v="0"/>
    <n v="33"/>
    <x v="1"/>
    <n v="599"/>
    <n v="15"/>
    <x v="1"/>
  </r>
  <r>
    <x v="67"/>
    <x v="1"/>
    <n v="32"/>
    <x v="2"/>
    <n v="699"/>
    <n v="15"/>
    <x v="1"/>
  </r>
  <r>
    <x v="68"/>
    <x v="0"/>
    <n v="33"/>
    <x v="2"/>
    <n v="799"/>
    <n v="5"/>
    <x v="0"/>
  </r>
  <r>
    <x v="69"/>
    <x v="1"/>
    <n v="32"/>
    <x v="0"/>
    <n v="1199"/>
    <n v="26"/>
    <x v="0"/>
  </r>
  <r>
    <x v="70"/>
    <x v="1"/>
    <n v="21"/>
    <x v="1"/>
    <n v="599"/>
    <n v="12"/>
    <x v="0"/>
  </r>
  <r>
    <x v="71"/>
    <x v="1"/>
    <n v="22"/>
    <x v="1"/>
    <n v="599"/>
    <n v="23"/>
    <x v="0"/>
  </r>
  <r>
    <x v="72"/>
    <x v="1"/>
    <n v="34"/>
    <x v="0"/>
    <n v="1199"/>
    <n v="8"/>
    <x v="1"/>
  </r>
  <r>
    <x v="73"/>
    <x v="0"/>
    <n v="29"/>
    <x v="1"/>
    <n v="599"/>
    <n v="1"/>
    <x v="1"/>
  </r>
  <r>
    <x v="74"/>
    <x v="0"/>
    <n v="32"/>
    <x v="2"/>
    <n v="699"/>
    <n v="22"/>
    <x v="0"/>
  </r>
  <r>
    <x v="75"/>
    <x v="0"/>
    <n v="44"/>
    <x v="2"/>
    <n v="799"/>
    <n v="27"/>
    <x v="0"/>
  </r>
  <r>
    <x v="76"/>
    <x v="1"/>
    <n v="38"/>
    <x v="1"/>
    <n v="499"/>
    <n v="27"/>
    <x v="0"/>
  </r>
  <r>
    <x v="77"/>
    <x v="1"/>
    <n v="42"/>
    <x v="0"/>
    <n v="999"/>
    <n v="20"/>
    <x v="0"/>
  </r>
  <r>
    <x v="78"/>
    <x v="0"/>
    <n v="30"/>
    <x v="2"/>
    <n v="699"/>
    <n v="28"/>
    <x v="0"/>
  </r>
  <r>
    <x v="79"/>
    <x v="1"/>
    <n v="35"/>
    <x v="2"/>
    <n v="799"/>
    <n v="14"/>
    <x v="0"/>
  </r>
  <r>
    <x v="80"/>
    <x v="0"/>
    <n v="42"/>
    <x v="1"/>
    <n v="599"/>
    <n v="33"/>
    <x v="0"/>
  </r>
  <r>
    <x v="81"/>
    <x v="1"/>
    <n v="23"/>
    <x v="1"/>
    <n v="599"/>
    <n v="15"/>
    <x v="0"/>
  </r>
  <r>
    <x v="82"/>
    <x v="0"/>
    <n v="21"/>
    <x v="1"/>
    <n v="499"/>
    <n v="31"/>
    <x v="0"/>
  </r>
  <r>
    <x v="83"/>
    <x v="0"/>
    <n v="35"/>
    <x v="2"/>
    <n v="699"/>
    <n v="25"/>
    <x v="0"/>
  </r>
  <r>
    <x v="84"/>
    <x v="0"/>
    <n v="25"/>
    <x v="0"/>
    <n v="1199"/>
    <n v="1"/>
    <x v="0"/>
  </r>
  <r>
    <x v="85"/>
    <x v="0"/>
    <n v="45"/>
    <x v="2"/>
    <n v="699"/>
    <n v="12"/>
    <x v="0"/>
  </r>
  <r>
    <x v="86"/>
    <x v="1"/>
    <n v="22"/>
    <x v="0"/>
    <n v="999"/>
    <n v="8"/>
    <x v="0"/>
  </r>
  <r>
    <x v="87"/>
    <x v="1"/>
    <n v="42"/>
    <x v="0"/>
    <n v="1199"/>
    <n v="21"/>
    <x v="0"/>
  </r>
  <r>
    <x v="88"/>
    <x v="1"/>
    <n v="40"/>
    <x v="0"/>
    <n v="1199"/>
    <n v="28"/>
    <x v="0"/>
  </r>
  <r>
    <x v="89"/>
    <x v="1"/>
    <n v="49"/>
    <x v="1"/>
    <n v="599"/>
    <n v="29"/>
    <x v="0"/>
  </r>
  <r>
    <x v="90"/>
    <x v="0"/>
    <n v="47"/>
    <x v="0"/>
    <n v="1099"/>
    <n v="34"/>
    <x v="0"/>
  </r>
  <r>
    <x v="91"/>
    <x v="0"/>
    <n v="29"/>
    <x v="2"/>
    <n v="699"/>
    <n v="19"/>
    <x v="0"/>
  </r>
  <r>
    <x v="92"/>
    <x v="1"/>
    <n v="31"/>
    <x v="0"/>
    <n v="999"/>
    <n v="9"/>
    <x v="1"/>
  </r>
  <r>
    <x v="93"/>
    <x v="1"/>
    <n v="43"/>
    <x v="1"/>
    <n v="499"/>
    <n v="5"/>
    <x v="0"/>
  </r>
  <r>
    <x v="94"/>
    <x v="1"/>
    <n v="38"/>
    <x v="2"/>
    <n v="799"/>
    <n v="4"/>
    <x v="1"/>
  </r>
  <r>
    <x v="95"/>
    <x v="1"/>
    <n v="33"/>
    <x v="0"/>
    <n v="1199"/>
    <n v="2"/>
    <x v="0"/>
  </r>
  <r>
    <x v="96"/>
    <x v="1"/>
    <n v="36"/>
    <x v="1"/>
    <n v="599"/>
    <n v="20"/>
    <x v="0"/>
  </r>
  <r>
    <x v="97"/>
    <x v="1"/>
    <n v="38"/>
    <x v="0"/>
    <n v="1199"/>
    <n v="35"/>
    <x v="0"/>
  </r>
  <r>
    <x v="98"/>
    <x v="0"/>
    <n v="36"/>
    <x v="1"/>
    <n v="599"/>
    <n v="28"/>
    <x v="0"/>
  </r>
  <r>
    <x v="99"/>
    <x v="1"/>
    <n v="31"/>
    <x v="0"/>
    <n v="1199"/>
    <n v="2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001"/>
    <s v="Male"/>
    <n v="21"/>
    <s v="Premium"/>
    <n v="1099"/>
    <n v="16"/>
    <x v="0"/>
    <x v="0"/>
  </r>
  <r>
    <s v="C002"/>
    <s v="Male"/>
    <n v="42"/>
    <s v="Premium"/>
    <n v="1199"/>
    <n v="6"/>
    <x v="0"/>
    <x v="1"/>
  </r>
  <r>
    <s v="C003"/>
    <s v="Male"/>
    <n v="21"/>
    <s v="Basic"/>
    <n v="499"/>
    <n v="15"/>
    <x v="0"/>
    <x v="0"/>
  </r>
  <r>
    <s v="C004"/>
    <s v="Male"/>
    <n v="38"/>
    <s v="Basic"/>
    <n v="599"/>
    <n v="15"/>
    <x v="0"/>
    <x v="0"/>
  </r>
  <r>
    <s v="C005"/>
    <s v="Female"/>
    <n v="46"/>
    <s v="Basic"/>
    <n v="499"/>
    <n v="28"/>
    <x v="0"/>
    <x v="0"/>
  </r>
  <r>
    <s v="C006"/>
    <s v="Male"/>
    <n v="27"/>
    <s v="Standard"/>
    <n v="699"/>
    <n v="6"/>
    <x v="1"/>
    <x v="1"/>
  </r>
  <r>
    <s v="C007"/>
    <s v="Female"/>
    <n v="48"/>
    <s v="Standard"/>
    <n v="799"/>
    <n v="3"/>
    <x v="0"/>
    <x v="2"/>
  </r>
  <r>
    <s v="C008"/>
    <s v="Male"/>
    <n v="50"/>
    <s v="Standard"/>
    <n v="699"/>
    <n v="36"/>
    <x v="0"/>
    <x v="0"/>
  </r>
  <r>
    <s v="C009"/>
    <s v="Female"/>
    <n v="39"/>
    <s v="Basic"/>
    <n v="499"/>
    <n v="3"/>
    <x v="1"/>
    <x v="2"/>
  </r>
  <r>
    <s v="C010"/>
    <s v="Female"/>
    <n v="23"/>
    <s v="Basic"/>
    <n v="499"/>
    <n v="25"/>
    <x v="0"/>
    <x v="0"/>
  </r>
  <r>
    <s v="C011"/>
    <s v="Female"/>
    <n v="26"/>
    <s v="Standard"/>
    <n v="799"/>
    <n v="14"/>
    <x v="0"/>
    <x v="0"/>
  </r>
  <r>
    <s v="C012"/>
    <s v="Male"/>
    <n v="40"/>
    <s v="Premium"/>
    <n v="999"/>
    <n v="35"/>
    <x v="0"/>
    <x v="0"/>
  </r>
  <r>
    <s v="C013"/>
    <s v="Male"/>
    <n v="35"/>
    <s v="Standard"/>
    <n v="799"/>
    <n v="36"/>
    <x v="0"/>
    <x v="0"/>
  </r>
  <r>
    <s v="C014"/>
    <s v="Female"/>
    <n v="47"/>
    <s v="Basic"/>
    <n v="499"/>
    <n v="3"/>
    <x v="0"/>
    <x v="2"/>
  </r>
  <r>
    <s v="C015"/>
    <s v="Female"/>
    <n v="29"/>
    <s v="Basic"/>
    <n v="499"/>
    <n v="21"/>
    <x v="0"/>
    <x v="0"/>
  </r>
  <r>
    <s v="C016"/>
    <s v="Female"/>
    <n v="33"/>
    <s v="Premium"/>
    <n v="1099"/>
    <n v="10"/>
    <x v="1"/>
    <x v="3"/>
  </r>
  <r>
    <s v="C017"/>
    <s v="Male"/>
    <n v="44"/>
    <s v="Premium"/>
    <n v="1199"/>
    <n v="17"/>
    <x v="0"/>
    <x v="0"/>
  </r>
  <r>
    <s v="C018"/>
    <s v="Female"/>
    <n v="49"/>
    <s v="Premium"/>
    <n v="1099"/>
    <n v="24"/>
    <x v="0"/>
    <x v="0"/>
  </r>
  <r>
    <s v="C019"/>
    <s v="Male"/>
    <n v="37"/>
    <s v="Standard"/>
    <n v="699"/>
    <n v="4"/>
    <x v="0"/>
    <x v="1"/>
  </r>
  <r>
    <s v="C020"/>
    <s v="Male"/>
    <n v="41"/>
    <s v="Basic"/>
    <n v="599"/>
    <n v="5"/>
    <x v="1"/>
    <x v="1"/>
  </r>
  <r>
    <s v="C021"/>
    <s v="Female"/>
    <n v="37"/>
    <s v="Standard"/>
    <n v="699"/>
    <n v="8"/>
    <x v="0"/>
    <x v="3"/>
  </r>
  <r>
    <s v="C022"/>
    <s v="Female"/>
    <n v="45"/>
    <s v="Premium"/>
    <n v="1099"/>
    <n v="8"/>
    <x v="1"/>
    <x v="3"/>
  </r>
  <r>
    <s v="C023"/>
    <s v="Male"/>
    <n v="35"/>
    <s v="Basic"/>
    <n v="599"/>
    <n v="33"/>
    <x v="0"/>
    <x v="0"/>
  </r>
  <r>
    <s v="C024"/>
    <s v="Male"/>
    <n v="48"/>
    <s v="Premium"/>
    <n v="1099"/>
    <n v="33"/>
    <x v="0"/>
    <x v="0"/>
  </r>
  <r>
    <s v="C025"/>
    <s v="Male"/>
    <n v="32"/>
    <s v="Basic"/>
    <n v="499"/>
    <n v="21"/>
    <x v="0"/>
    <x v="0"/>
  </r>
  <r>
    <s v="C026"/>
    <s v="Male"/>
    <n v="50"/>
    <s v="Standard"/>
    <n v="799"/>
    <n v="16"/>
    <x v="1"/>
    <x v="0"/>
  </r>
  <r>
    <s v="C027"/>
    <s v="Male"/>
    <n v="23"/>
    <s v="Premium"/>
    <n v="1099"/>
    <n v="5"/>
    <x v="0"/>
    <x v="1"/>
  </r>
  <r>
    <s v="C028"/>
    <s v="Male"/>
    <n v="25"/>
    <s v="Premium"/>
    <n v="1099"/>
    <n v="36"/>
    <x v="1"/>
    <x v="0"/>
  </r>
  <r>
    <s v="C029"/>
    <s v="Female"/>
    <n v="27"/>
    <s v="Premium"/>
    <n v="1199"/>
    <n v="13"/>
    <x v="0"/>
    <x v="0"/>
  </r>
  <r>
    <s v="C030"/>
    <s v="Female"/>
    <n v="42"/>
    <s v="Premium"/>
    <n v="1099"/>
    <n v="29"/>
    <x v="0"/>
    <x v="0"/>
  </r>
  <r>
    <s v="C031"/>
    <s v="Female"/>
    <n v="24"/>
    <s v="Basic"/>
    <n v="499"/>
    <n v="5"/>
    <x v="1"/>
    <x v="1"/>
  </r>
  <r>
    <s v="C032"/>
    <s v="Male"/>
    <n v="39"/>
    <s v="Basic"/>
    <n v="499"/>
    <n v="5"/>
    <x v="0"/>
    <x v="1"/>
  </r>
  <r>
    <s v="C033"/>
    <s v="Male"/>
    <n v="28"/>
    <s v="Basic"/>
    <n v="499"/>
    <n v="22"/>
    <x v="1"/>
    <x v="0"/>
  </r>
  <r>
    <s v="C034"/>
    <s v="Male"/>
    <n v="29"/>
    <s v="Premium"/>
    <n v="1099"/>
    <n v="14"/>
    <x v="0"/>
    <x v="0"/>
  </r>
  <r>
    <s v="C035"/>
    <s v="Female"/>
    <n v="28"/>
    <s v="Standard"/>
    <n v="799"/>
    <n v="13"/>
    <x v="1"/>
    <x v="0"/>
  </r>
  <r>
    <s v="C036"/>
    <s v="Female"/>
    <n v="32"/>
    <s v="Standard"/>
    <n v="799"/>
    <n v="30"/>
    <x v="0"/>
    <x v="0"/>
  </r>
  <r>
    <s v="C037"/>
    <s v="Male"/>
    <n v="42"/>
    <s v="Premium"/>
    <n v="1199"/>
    <n v="7"/>
    <x v="1"/>
    <x v="3"/>
  </r>
  <r>
    <s v="C038"/>
    <s v="Female"/>
    <n v="46"/>
    <s v="Basic"/>
    <n v="499"/>
    <n v="13"/>
    <x v="1"/>
    <x v="0"/>
  </r>
  <r>
    <s v="C039"/>
    <s v="Female"/>
    <n v="25"/>
    <s v="Standard"/>
    <n v="699"/>
    <n v="18"/>
    <x v="0"/>
    <x v="0"/>
  </r>
  <r>
    <s v="C040"/>
    <s v="Male"/>
    <n v="35"/>
    <s v="Premium"/>
    <n v="999"/>
    <n v="4"/>
    <x v="0"/>
    <x v="1"/>
  </r>
  <r>
    <s v="C041"/>
    <s v="Male"/>
    <n v="23"/>
    <s v="Basic"/>
    <n v="499"/>
    <n v="27"/>
    <x v="0"/>
    <x v="0"/>
  </r>
  <r>
    <s v="C042"/>
    <s v="Male"/>
    <n v="48"/>
    <s v="Standard"/>
    <n v="699"/>
    <n v="11"/>
    <x v="1"/>
    <x v="3"/>
  </r>
  <r>
    <s v="C043"/>
    <s v="Female"/>
    <n v="29"/>
    <s v="Standard"/>
    <n v="799"/>
    <n v="28"/>
    <x v="0"/>
    <x v="0"/>
  </r>
  <r>
    <s v="C044"/>
    <s v="Female"/>
    <n v="25"/>
    <s v="Basic"/>
    <n v="599"/>
    <n v="14"/>
    <x v="0"/>
    <x v="0"/>
  </r>
  <r>
    <s v="C045"/>
    <s v="Male"/>
    <n v="44"/>
    <s v="Standard"/>
    <n v="699"/>
    <n v="4"/>
    <x v="0"/>
    <x v="1"/>
  </r>
  <r>
    <s v="C046"/>
    <s v="Male"/>
    <n v="22"/>
    <s v="Premium"/>
    <n v="999"/>
    <n v="12"/>
    <x v="1"/>
    <x v="3"/>
  </r>
  <r>
    <s v="C047"/>
    <s v="Male"/>
    <n v="42"/>
    <s v="Basic"/>
    <n v="599"/>
    <n v="8"/>
    <x v="0"/>
    <x v="3"/>
  </r>
  <r>
    <s v="C048"/>
    <s v="Male"/>
    <n v="39"/>
    <s v="Premium"/>
    <n v="999"/>
    <n v="6"/>
    <x v="0"/>
    <x v="1"/>
  </r>
  <r>
    <s v="C049"/>
    <s v="Female"/>
    <n v="50"/>
    <s v="Standard"/>
    <n v="699"/>
    <n v="21"/>
    <x v="0"/>
    <x v="0"/>
  </r>
  <r>
    <s v="C050"/>
    <s v="Female"/>
    <n v="25"/>
    <s v="Premium"/>
    <n v="1199"/>
    <n v="20"/>
    <x v="0"/>
    <x v="0"/>
  </r>
  <r>
    <s v="C051"/>
    <s v="Male"/>
    <n v="21"/>
    <s v="Standard"/>
    <n v="699"/>
    <n v="5"/>
    <x v="0"/>
    <x v="1"/>
  </r>
  <r>
    <s v="C052"/>
    <s v="Female"/>
    <n v="25"/>
    <s v="Standard"/>
    <n v="699"/>
    <n v="16"/>
    <x v="0"/>
    <x v="0"/>
  </r>
  <r>
    <s v="C053"/>
    <s v="Male"/>
    <n v="35"/>
    <s v="Premium"/>
    <n v="1199"/>
    <n v="20"/>
    <x v="0"/>
    <x v="0"/>
  </r>
  <r>
    <s v="C054"/>
    <s v="Male"/>
    <n v="42"/>
    <s v="Premium"/>
    <n v="1099"/>
    <n v="7"/>
    <x v="0"/>
    <x v="3"/>
  </r>
  <r>
    <s v="C055"/>
    <s v="Male"/>
    <n v="29"/>
    <s v="Basic"/>
    <n v="499"/>
    <n v="36"/>
    <x v="1"/>
    <x v="0"/>
  </r>
  <r>
    <s v="C056"/>
    <s v="Female"/>
    <n v="40"/>
    <s v="Basic"/>
    <n v="599"/>
    <n v="14"/>
    <x v="0"/>
    <x v="0"/>
  </r>
  <r>
    <s v="C057"/>
    <s v="Female"/>
    <n v="37"/>
    <s v="Standard"/>
    <n v="799"/>
    <n v="4"/>
    <x v="1"/>
    <x v="1"/>
  </r>
  <r>
    <s v="C058"/>
    <s v="Female"/>
    <n v="47"/>
    <s v="Standard"/>
    <n v="699"/>
    <n v="1"/>
    <x v="1"/>
    <x v="2"/>
  </r>
  <r>
    <s v="C059"/>
    <s v="Male"/>
    <n v="41"/>
    <s v="Standard"/>
    <n v="699"/>
    <n v="29"/>
    <x v="0"/>
    <x v="0"/>
  </r>
  <r>
    <s v="C060"/>
    <s v="Female"/>
    <n v="38"/>
    <s v="Basic"/>
    <n v="499"/>
    <n v="5"/>
    <x v="0"/>
    <x v="1"/>
  </r>
  <r>
    <s v="C061"/>
    <s v="Male"/>
    <n v="38"/>
    <s v="Basic"/>
    <n v="599"/>
    <n v="36"/>
    <x v="1"/>
    <x v="0"/>
  </r>
  <r>
    <s v="C062"/>
    <s v="Male"/>
    <n v="22"/>
    <s v="Standard"/>
    <n v="799"/>
    <n v="3"/>
    <x v="0"/>
    <x v="2"/>
  </r>
  <r>
    <s v="C063"/>
    <s v="Male"/>
    <n v="42"/>
    <s v="Basic"/>
    <n v="499"/>
    <n v="23"/>
    <x v="0"/>
    <x v="0"/>
  </r>
  <r>
    <s v="C064"/>
    <s v="Female"/>
    <n v="40"/>
    <s v="Premium"/>
    <n v="999"/>
    <n v="16"/>
    <x v="0"/>
    <x v="0"/>
  </r>
  <r>
    <s v="C065"/>
    <s v="Male"/>
    <n v="49"/>
    <s v="Standard"/>
    <n v="699"/>
    <n v="12"/>
    <x v="0"/>
    <x v="3"/>
  </r>
  <r>
    <s v="C066"/>
    <s v="Female"/>
    <n v="46"/>
    <s v="Standard"/>
    <n v="699"/>
    <n v="18"/>
    <x v="1"/>
    <x v="0"/>
  </r>
  <r>
    <s v="C067"/>
    <s v="Male"/>
    <n v="33"/>
    <s v="Basic"/>
    <n v="599"/>
    <n v="15"/>
    <x v="1"/>
    <x v="0"/>
  </r>
  <r>
    <s v="C068"/>
    <s v="Female"/>
    <n v="32"/>
    <s v="Standard"/>
    <n v="699"/>
    <n v="15"/>
    <x v="1"/>
    <x v="0"/>
  </r>
  <r>
    <s v="C069"/>
    <s v="Male"/>
    <n v="33"/>
    <s v="Standard"/>
    <n v="799"/>
    <n v="5"/>
    <x v="0"/>
    <x v="1"/>
  </r>
  <r>
    <s v="C070"/>
    <s v="Female"/>
    <n v="32"/>
    <s v="Premium"/>
    <n v="1199"/>
    <n v="26"/>
    <x v="0"/>
    <x v="0"/>
  </r>
  <r>
    <s v="C071"/>
    <s v="Female"/>
    <n v="21"/>
    <s v="Basic"/>
    <n v="599"/>
    <n v="12"/>
    <x v="0"/>
    <x v="3"/>
  </r>
  <r>
    <s v="C072"/>
    <s v="Female"/>
    <n v="22"/>
    <s v="Basic"/>
    <n v="599"/>
    <n v="23"/>
    <x v="0"/>
    <x v="0"/>
  </r>
  <r>
    <s v="C073"/>
    <s v="Female"/>
    <n v="34"/>
    <s v="Premium"/>
    <n v="1199"/>
    <n v="8"/>
    <x v="1"/>
    <x v="3"/>
  </r>
  <r>
    <s v="C074"/>
    <s v="Male"/>
    <n v="29"/>
    <s v="Basic"/>
    <n v="599"/>
    <n v="1"/>
    <x v="1"/>
    <x v="2"/>
  </r>
  <r>
    <s v="C075"/>
    <s v="Male"/>
    <n v="32"/>
    <s v="Standard"/>
    <n v="699"/>
    <n v="22"/>
    <x v="0"/>
    <x v="0"/>
  </r>
  <r>
    <s v="C076"/>
    <s v="Male"/>
    <n v="44"/>
    <s v="Standard"/>
    <n v="799"/>
    <n v="27"/>
    <x v="0"/>
    <x v="0"/>
  </r>
  <r>
    <s v="C077"/>
    <s v="Female"/>
    <n v="38"/>
    <s v="Basic"/>
    <n v="499"/>
    <n v="27"/>
    <x v="0"/>
    <x v="0"/>
  </r>
  <r>
    <s v="C078"/>
    <s v="Female"/>
    <n v="42"/>
    <s v="Premium"/>
    <n v="999"/>
    <n v="20"/>
    <x v="0"/>
    <x v="0"/>
  </r>
  <r>
    <s v="C079"/>
    <s v="Male"/>
    <n v="30"/>
    <s v="Standard"/>
    <n v="699"/>
    <n v="28"/>
    <x v="0"/>
    <x v="0"/>
  </r>
  <r>
    <s v="C080"/>
    <s v="Female"/>
    <n v="35"/>
    <s v="Standard"/>
    <n v="799"/>
    <n v="14"/>
    <x v="0"/>
    <x v="0"/>
  </r>
  <r>
    <s v="C081"/>
    <s v="Male"/>
    <n v="42"/>
    <s v="Basic"/>
    <n v="599"/>
    <n v="33"/>
    <x v="0"/>
    <x v="0"/>
  </r>
  <r>
    <s v="C082"/>
    <s v="Female"/>
    <n v="23"/>
    <s v="Basic"/>
    <n v="599"/>
    <n v="15"/>
    <x v="0"/>
    <x v="0"/>
  </r>
  <r>
    <s v="C083"/>
    <s v="Male"/>
    <n v="21"/>
    <s v="Basic"/>
    <n v="499"/>
    <n v="31"/>
    <x v="0"/>
    <x v="0"/>
  </r>
  <r>
    <s v="C084"/>
    <s v="Male"/>
    <n v="35"/>
    <s v="Standard"/>
    <n v="699"/>
    <n v="25"/>
    <x v="0"/>
    <x v="0"/>
  </r>
  <r>
    <s v="C085"/>
    <s v="Male"/>
    <n v="25"/>
    <s v="Premium"/>
    <n v="1199"/>
    <n v="1"/>
    <x v="0"/>
    <x v="2"/>
  </r>
  <r>
    <s v="C086"/>
    <s v="Male"/>
    <n v="45"/>
    <s v="Standard"/>
    <n v="699"/>
    <n v="12"/>
    <x v="0"/>
    <x v="3"/>
  </r>
  <r>
    <s v="C087"/>
    <s v="Female"/>
    <n v="22"/>
    <s v="Premium"/>
    <n v="999"/>
    <n v="8"/>
    <x v="0"/>
    <x v="3"/>
  </r>
  <r>
    <s v="C088"/>
    <s v="Female"/>
    <n v="42"/>
    <s v="Premium"/>
    <n v="1199"/>
    <n v="21"/>
    <x v="0"/>
    <x v="0"/>
  </r>
  <r>
    <s v="C089"/>
    <s v="Female"/>
    <n v="40"/>
    <s v="Premium"/>
    <n v="1199"/>
    <n v="28"/>
    <x v="0"/>
    <x v="0"/>
  </r>
  <r>
    <s v="C090"/>
    <s v="Female"/>
    <n v="49"/>
    <s v="Basic"/>
    <n v="599"/>
    <n v="29"/>
    <x v="0"/>
    <x v="0"/>
  </r>
  <r>
    <s v="C091"/>
    <s v="Male"/>
    <n v="47"/>
    <s v="Premium"/>
    <n v="1099"/>
    <n v="34"/>
    <x v="0"/>
    <x v="0"/>
  </r>
  <r>
    <s v="C092"/>
    <s v="Male"/>
    <n v="29"/>
    <s v="Standard"/>
    <n v="699"/>
    <n v="19"/>
    <x v="0"/>
    <x v="0"/>
  </r>
  <r>
    <s v="C093"/>
    <s v="Female"/>
    <n v="31"/>
    <s v="Premium"/>
    <n v="999"/>
    <n v="9"/>
    <x v="1"/>
    <x v="3"/>
  </r>
  <r>
    <s v="C094"/>
    <s v="Female"/>
    <n v="43"/>
    <s v="Basic"/>
    <n v="499"/>
    <n v="5"/>
    <x v="0"/>
    <x v="1"/>
  </r>
  <r>
    <s v="C095"/>
    <s v="Female"/>
    <n v="38"/>
    <s v="Standard"/>
    <n v="799"/>
    <n v="4"/>
    <x v="1"/>
    <x v="1"/>
  </r>
  <r>
    <s v="C096"/>
    <s v="Female"/>
    <n v="33"/>
    <s v="Premium"/>
    <n v="1199"/>
    <n v="2"/>
    <x v="0"/>
    <x v="2"/>
  </r>
  <r>
    <s v="C097"/>
    <s v="Female"/>
    <n v="36"/>
    <s v="Basic"/>
    <n v="599"/>
    <n v="20"/>
    <x v="0"/>
    <x v="0"/>
  </r>
  <r>
    <s v="C098"/>
    <s v="Female"/>
    <n v="38"/>
    <s v="Premium"/>
    <n v="1199"/>
    <n v="35"/>
    <x v="0"/>
    <x v="0"/>
  </r>
  <r>
    <s v="C099"/>
    <s v="Male"/>
    <n v="36"/>
    <s v="Basic"/>
    <n v="599"/>
    <n v="28"/>
    <x v="0"/>
    <x v="0"/>
  </r>
  <r>
    <s v="C100"/>
    <s v="Female"/>
    <n v="31"/>
    <s v="Premium"/>
    <n v="1199"/>
    <n v="2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DA98B-FB1E-439C-81FB-E5B0E2E96AE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7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25E52-876C-4745-A480-B186614163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7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48BA6-BF6B-4E9F-A3BC-2E97E9BBC12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8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0"/>
        <item m="1" x="4"/>
        <item x="1"/>
        <item x="2"/>
        <item x="3"/>
        <item t="default"/>
      </items>
    </pivotField>
  </pivotFields>
  <rowFields count="1">
    <field x="7"/>
  </rowFields>
  <rowItems count="5">
    <i>
      <x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811D-954E-45CE-8A52-F5F8CCB2F241}">
  <dimension ref="A3:D8"/>
  <sheetViews>
    <sheetView zoomScale="97" workbookViewId="0">
      <selection activeCell="I14" sqref="I14"/>
    </sheetView>
  </sheetViews>
  <sheetFormatPr defaultRowHeight="14.4" x14ac:dyDescent="0.3"/>
  <cols>
    <col min="1" max="1" width="18.77734375" bestFit="1" customWidth="1"/>
    <col min="2" max="2" width="16" bestFit="1" customWidth="1"/>
    <col min="3" max="3" width="4" bestFit="1" customWidth="1"/>
    <col min="4" max="4" width="10.88671875" bestFit="1" customWidth="1"/>
  </cols>
  <sheetData>
    <row r="3" spans="1:4" x14ac:dyDescent="0.3">
      <c r="A3" s="1" t="s">
        <v>120</v>
      </c>
      <c r="B3" s="1" t="s">
        <v>119</v>
      </c>
    </row>
    <row r="4" spans="1:4" x14ac:dyDescent="0.3">
      <c r="A4" s="1" t="s">
        <v>117</v>
      </c>
      <c r="B4" t="s">
        <v>115</v>
      </c>
      <c r="C4" t="s">
        <v>19</v>
      </c>
      <c r="D4" t="s">
        <v>118</v>
      </c>
    </row>
    <row r="5" spans="1:4" x14ac:dyDescent="0.3">
      <c r="A5" s="2" t="s">
        <v>13</v>
      </c>
      <c r="B5">
        <v>25</v>
      </c>
      <c r="C5">
        <v>9</v>
      </c>
      <c r="D5">
        <v>34</v>
      </c>
    </row>
    <row r="6" spans="1:4" x14ac:dyDescent="0.3">
      <c r="A6" s="2" t="s">
        <v>9</v>
      </c>
      <c r="B6">
        <v>26</v>
      </c>
      <c r="C6">
        <v>7</v>
      </c>
      <c r="D6">
        <v>33</v>
      </c>
    </row>
    <row r="7" spans="1:4" x14ac:dyDescent="0.3">
      <c r="A7" s="2" t="s">
        <v>18</v>
      </c>
      <c r="B7">
        <v>24</v>
      </c>
      <c r="C7">
        <v>9</v>
      </c>
      <c r="D7">
        <v>33</v>
      </c>
    </row>
    <row r="8" spans="1:4" x14ac:dyDescent="0.3">
      <c r="A8" s="2" t="s">
        <v>118</v>
      </c>
      <c r="B8">
        <v>75</v>
      </c>
      <c r="C8">
        <v>25</v>
      </c>
      <c r="D8"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64F9-303B-41E9-8FA9-748CE8CDD254}">
  <dimension ref="A3:D7"/>
  <sheetViews>
    <sheetView workbookViewId="0">
      <selection activeCell="H20" sqref="H20"/>
    </sheetView>
  </sheetViews>
  <sheetFormatPr defaultRowHeight="14.4" x14ac:dyDescent="0.3"/>
  <cols>
    <col min="1" max="1" width="18.21875" bestFit="1" customWidth="1"/>
    <col min="2" max="2" width="15.5546875" bestFit="1" customWidth="1"/>
    <col min="3" max="3" width="3.88671875" bestFit="1" customWidth="1"/>
    <col min="4" max="4" width="10.5546875" bestFit="1" customWidth="1"/>
  </cols>
  <sheetData>
    <row r="3" spans="1:4" x14ac:dyDescent="0.3">
      <c r="A3" s="1" t="s">
        <v>120</v>
      </c>
      <c r="B3" s="1" t="s">
        <v>119</v>
      </c>
    </row>
    <row r="4" spans="1:4" x14ac:dyDescent="0.3">
      <c r="A4" s="1" t="s">
        <v>117</v>
      </c>
      <c r="B4" t="s">
        <v>115</v>
      </c>
      <c r="C4" t="s">
        <v>19</v>
      </c>
      <c r="D4" t="s">
        <v>118</v>
      </c>
    </row>
    <row r="5" spans="1:4" x14ac:dyDescent="0.3">
      <c r="A5" s="2" t="s">
        <v>16</v>
      </c>
      <c r="B5">
        <v>36</v>
      </c>
      <c r="C5">
        <v>13</v>
      </c>
      <c r="D5">
        <v>49</v>
      </c>
    </row>
    <row r="6" spans="1:4" x14ac:dyDescent="0.3">
      <c r="A6" s="2" t="s">
        <v>8</v>
      </c>
      <c r="B6">
        <v>39</v>
      </c>
      <c r="C6">
        <v>12</v>
      </c>
      <c r="D6">
        <v>51</v>
      </c>
    </row>
    <row r="7" spans="1:4" x14ac:dyDescent="0.3">
      <c r="A7" s="2" t="s">
        <v>118</v>
      </c>
      <c r="B7">
        <v>75</v>
      </c>
      <c r="C7">
        <v>25</v>
      </c>
      <c r="D7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3B8F-370F-4ECC-B13A-CB9B8B148198}">
  <dimension ref="A3:D9"/>
  <sheetViews>
    <sheetView zoomScale="65" workbookViewId="0">
      <selection activeCell="M22" sqref="M22"/>
    </sheetView>
  </sheetViews>
  <sheetFormatPr defaultRowHeight="14.4" x14ac:dyDescent="0.3"/>
  <cols>
    <col min="1" max="1" width="19.44140625" bestFit="1" customWidth="1"/>
    <col min="2" max="2" width="17.33203125" bestFit="1" customWidth="1"/>
    <col min="3" max="3" width="4.21875" bestFit="1" customWidth="1"/>
    <col min="4" max="4" width="10.6640625" bestFit="1" customWidth="1"/>
  </cols>
  <sheetData>
    <row r="3" spans="1:4" x14ac:dyDescent="0.3">
      <c r="A3" s="1" t="s">
        <v>120</v>
      </c>
      <c r="B3" s="1" t="s">
        <v>119</v>
      </c>
    </row>
    <row r="4" spans="1:4" x14ac:dyDescent="0.3">
      <c r="A4" s="1" t="s">
        <v>117</v>
      </c>
      <c r="B4" t="s">
        <v>115</v>
      </c>
      <c r="C4" t="s">
        <v>19</v>
      </c>
      <c r="D4" t="s">
        <v>118</v>
      </c>
    </row>
    <row r="5" spans="1:4" x14ac:dyDescent="0.3">
      <c r="A5" s="2" t="s">
        <v>122</v>
      </c>
      <c r="B5" s="3">
        <v>52</v>
      </c>
      <c r="C5" s="3">
        <v>10</v>
      </c>
      <c r="D5" s="3">
        <v>62</v>
      </c>
    </row>
    <row r="6" spans="1:4" x14ac:dyDescent="0.3">
      <c r="A6" s="2" t="s">
        <v>123</v>
      </c>
      <c r="B6" s="3">
        <v>11</v>
      </c>
      <c r="C6" s="3">
        <v>5</v>
      </c>
      <c r="D6" s="3">
        <v>16</v>
      </c>
    </row>
    <row r="7" spans="1:4" x14ac:dyDescent="0.3">
      <c r="A7" s="2" t="s">
        <v>124</v>
      </c>
      <c r="B7" s="3">
        <v>5</v>
      </c>
      <c r="C7" s="3">
        <v>3</v>
      </c>
      <c r="D7" s="3">
        <v>8</v>
      </c>
    </row>
    <row r="8" spans="1:4" x14ac:dyDescent="0.3">
      <c r="A8" s="2" t="s">
        <v>125</v>
      </c>
      <c r="B8" s="3">
        <v>7</v>
      </c>
      <c r="C8" s="3">
        <v>7</v>
      </c>
      <c r="D8" s="3">
        <v>14</v>
      </c>
    </row>
    <row r="9" spans="1:4" x14ac:dyDescent="0.3">
      <c r="A9" s="2" t="s">
        <v>118</v>
      </c>
      <c r="B9" s="3">
        <v>75</v>
      </c>
      <c r="C9" s="3">
        <v>25</v>
      </c>
      <c r="D9" s="3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ECD6-0D1D-478B-9CFB-AF2CB68219FD}">
  <dimension ref="A1:D2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t="s">
        <v>129</v>
      </c>
      <c r="B1" t="s">
        <v>130</v>
      </c>
      <c r="C1" t="s">
        <v>131</v>
      </c>
      <c r="D1" t="s">
        <v>128</v>
      </c>
    </row>
    <row r="2" spans="1:4" x14ac:dyDescent="0.3">
      <c r="A2">
        <v>100</v>
      </c>
      <c r="B2">
        <v>0.25</v>
      </c>
      <c r="C2">
        <v>0.75</v>
      </c>
      <c r="D2">
        <v>13398.4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9019-97DE-4F43-9B29-9605F9825B5A}">
  <dimension ref="A1:P101"/>
  <sheetViews>
    <sheetView topLeftCell="D1" zoomScale="95" workbookViewId="0">
      <selection activeCell="K13" sqref="K1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121</v>
      </c>
      <c r="L1" t="s">
        <v>126</v>
      </c>
      <c r="P1" t="s">
        <v>128</v>
      </c>
    </row>
    <row r="2" spans="1:16" x14ac:dyDescent="0.3">
      <c r="A2" t="s">
        <v>7</v>
      </c>
      <c r="B2" t="s">
        <v>8</v>
      </c>
      <c r="C2">
        <v>21</v>
      </c>
      <c r="D2" t="s">
        <v>9</v>
      </c>
      <c r="E2">
        <v>1099</v>
      </c>
      <c r="F2">
        <v>16</v>
      </c>
      <c r="G2" t="s">
        <v>115</v>
      </c>
      <c r="H2" t="str">
        <f>IF(F2&lt;=3,"0-3 Months",
IF(F2&lt;=6,"4-6 Months",
IF(F2&lt;=12,"7-12 Months","12+ Months")))</f>
        <v>12+ Months</v>
      </c>
      <c r="L2">
        <f>AVERAGE(E2:E101)</f>
        <v>798</v>
      </c>
      <c r="P2">
        <f>L2*N5</f>
        <v>13398.42</v>
      </c>
    </row>
    <row r="3" spans="1:16" x14ac:dyDescent="0.3">
      <c r="A3" t="s">
        <v>11</v>
      </c>
      <c r="B3" t="s">
        <v>8</v>
      </c>
      <c r="C3">
        <v>42</v>
      </c>
      <c r="D3" t="s">
        <v>9</v>
      </c>
      <c r="E3">
        <v>1199</v>
      </c>
      <c r="F3">
        <v>6</v>
      </c>
      <c r="G3" t="s">
        <v>10</v>
      </c>
      <c r="H3" t="str">
        <f t="shared" ref="H3:H66" si="0">IF(F3&lt;=3,"0-3 Months",
IF(F3&lt;=6,"4-6 Months",
IF(F3&lt;=12,"7-12 Months","12+ Months")))</f>
        <v>4-6 Months</v>
      </c>
    </row>
    <row r="4" spans="1:16" x14ac:dyDescent="0.3">
      <c r="A4" t="s">
        <v>12</v>
      </c>
      <c r="B4" t="s">
        <v>8</v>
      </c>
      <c r="C4">
        <v>21</v>
      </c>
      <c r="D4" t="s">
        <v>13</v>
      </c>
      <c r="E4">
        <v>499</v>
      </c>
      <c r="F4">
        <v>15</v>
      </c>
      <c r="G4" t="s">
        <v>10</v>
      </c>
      <c r="H4" t="str">
        <f t="shared" si="0"/>
        <v>12+ Months</v>
      </c>
      <c r="N4" t="s">
        <v>127</v>
      </c>
    </row>
    <row r="5" spans="1:16" x14ac:dyDescent="0.3">
      <c r="A5" t="s">
        <v>14</v>
      </c>
      <c r="B5" t="s">
        <v>8</v>
      </c>
      <c r="C5">
        <v>38</v>
      </c>
      <c r="D5" t="s">
        <v>13</v>
      </c>
      <c r="E5">
        <v>599</v>
      </c>
      <c r="F5">
        <v>15</v>
      </c>
      <c r="G5" t="s">
        <v>10</v>
      </c>
      <c r="H5" t="str">
        <f t="shared" si="0"/>
        <v>12+ Months</v>
      </c>
      <c r="J5" t="s">
        <v>116</v>
      </c>
      <c r="N5">
        <f>AVERAGE(F2:F101)</f>
        <v>16.79</v>
      </c>
    </row>
    <row r="6" spans="1:16" x14ac:dyDescent="0.3">
      <c r="A6" t="s">
        <v>15</v>
      </c>
      <c r="B6" t="s">
        <v>16</v>
      </c>
      <c r="C6">
        <v>46</v>
      </c>
      <c r="D6" t="s">
        <v>13</v>
      </c>
      <c r="E6">
        <v>499</v>
      </c>
      <c r="F6">
        <v>28</v>
      </c>
      <c r="G6" t="s">
        <v>10</v>
      </c>
      <c r="H6" t="str">
        <f t="shared" si="0"/>
        <v>12+ Months</v>
      </c>
      <c r="J6">
        <f>COUNTIF(G:G,"Yes")</f>
        <v>25</v>
      </c>
      <c r="N6" t="s">
        <v>132</v>
      </c>
    </row>
    <row r="7" spans="1:16" x14ac:dyDescent="0.3">
      <c r="A7" t="s">
        <v>17</v>
      </c>
      <c r="B7" t="s">
        <v>8</v>
      </c>
      <c r="C7">
        <v>27</v>
      </c>
      <c r="D7" t="s">
        <v>18</v>
      </c>
      <c r="E7">
        <v>699</v>
      </c>
      <c r="F7">
        <v>6</v>
      </c>
      <c r="G7" t="s">
        <v>19</v>
      </c>
      <c r="H7" t="str">
        <f t="shared" si="0"/>
        <v>4-6 Months</v>
      </c>
      <c r="J7" t="s">
        <v>114</v>
      </c>
      <c r="N7">
        <f>J6/J8</f>
        <v>0.25</v>
      </c>
    </row>
    <row r="8" spans="1:16" x14ac:dyDescent="0.3">
      <c r="A8" t="s">
        <v>20</v>
      </c>
      <c r="B8" t="s">
        <v>16</v>
      </c>
      <c r="C8">
        <v>48</v>
      </c>
      <c r="D8" t="s">
        <v>18</v>
      </c>
      <c r="E8">
        <v>799</v>
      </c>
      <c r="F8">
        <v>3</v>
      </c>
      <c r="G8" t="s">
        <v>10</v>
      </c>
      <c r="H8" t="str">
        <f t="shared" si="0"/>
        <v>0-3 Months</v>
      </c>
      <c r="J8">
        <v>100</v>
      </c>
      <c r="N8" t="s">
        <v>133</v>
      </c>
    </row>
    <row r="9" spans="1:16" x14ac:dyDescent="0.3">
      <c r="A9" t="s">
        <v>21</v>
      </c>
      <c r="B9" t="s">
        <v>8</v>
      </c>
      <c r="C9">
        <v>50</v>
      </c>
      <c r="D9" t="s">
        <v>18</v>
      </c>
      <c r="E9">
        <v>699</v>
      </c>
      <c r="F9">
        <v>36</v>
      </c>
      <c r="G9" t="s">
        <v>10</v>
      </c>
      <c r="H9" t="str">
        <f t="shared" si="0"/>
        <v>12+ Months</v>
      </c>
      <c r="N9">
        <f>1-(J6/J8)</f>
        <v>0.75</v>
      </c>
    </row>
    <row r="10" spans="1:16" x14ac:dyDescent="0.3">
      <c r="A10" t="s">
        <v>22</v>
      </c>
      <c r="B10" t="s">
        <v>16</v>
      </c>
      <c r="C10">
        <v>39</v>
      </c>
      <c r="D10" t="s">
        <v>13</v>
      </c>
      <c r="E10">
        <v>499</v>
      </c>
      <c r="F10">
        <v>3</v>
      </c>
      <c r="G10" t="s">
        <v>19</v>
      </c>
      <c r="H10" t="str">
        <f t="shared" si="0"/>
        <v>0-3 Months</v>
      </c>
    </row>
    <row r="11" spans="1:16" x14ac:dyDescent="0.3">
      <c r="A11" t="s">
        <v>23</v>
      </c>
      <c r="B11" t="s">
        <v>16</v>
      </c>
      <c r="C11">
        <v>23</v>
      </c>
      <c r="D11" t="s">
        <v>13</v>
      </c>
      <c r="E11">
        <v>499</v>
      </c>
      <c r="F11">
        <v>25</v>
      </c>
      <c r="G11" t="s">
        <v>10</v>
      </c>
      <c r="H11" t="str">
        <f t="shared" si="0"/>
        <v>12+ Months</v>
      </c>
    </row>
    <row r="12" spans="1:16" x14ac:dyDescent="0.3">
      <c r="A12" t="s">
        <v>24</v>
      </c>
      <c r="B12" t="s">
        <v>16</v>
      </c>
      <c r="C12">
        <v>26</v>
      </c>
      <c r="D12" t="s">
        <v>18</v>
      </c>
      <c r="E12">
        <v>799</v>
      </c>
      <c r="F12">
        <v>14</v>
      </c>
      <c r="G12" t="s">
        <v>10</v>
      </c>
      <c r="H12" t="str">
        <f t="shared" si="0"/>
        <v>12+ Months</v>
      </c>
    </row>
    <row r="13" spans="1:16" x14ac:dyDescent="0.3">
      <c r="A13" t="s">
        <v>25</v>
      </c>
      <c r="B13" t="s">
        <v>8</v>
      </c>
      <c r="C13">
        <v>40</v>
      </c>
      <c r="D13" t="s">
        <v>9</v>
      </c>
      <c r="E13">
        <v>999</v>
      </c>
      <c r="F13">
        <v>35</v>
      </c>
      <c r="G13" t="s">
        <v>10</v>
      </c>
      <c r="H13" t="str">
        <f t="shared" si="0"/>
        <v>12+ Months</v>
      </c>
    </row>
    <row r="14" spans="1:16" x14ac:dyDescent="0.3">
      <c r="A14" t="s">
        <v>26</v>
      </c>
      <c r="B14" t="s">
        <v>8</v>
      </c>
      <c r="C14">
        <v>35</v>
      </c>
      <c r="D14" t="s">
        <v>18</v>
      </c>
      <c r="E14">
        <v>799</v>
      </c>
      <c r="F14">
        <v>36</v>
      </c>
      <c r="G14" t="s">
        <v>10</v>
      </c>
      <c r="H14" t="str">
        <f t="shared" si="0"/>
        <v>12+ Months</v>
      </c>
    </row>
    <row r="15" spans="1:16" x14ac:dyDescent="0.3">
      <c r="A15" t="s">
        <v>27</v>
      </c>
      <c r="B15" t="s">
        <v>16</v>
      </c>
      <c r="C15">
        <v>47</v>
      </c>
      <c r="D15" t="s">
        <v>13</v>
      </c>
      <c r="E15">
        <v>499</v>
      </c>
      <c r="F15">
        <v>3</v>
      </c>
      <c r="G15" t="s">
        <v>10</v>
      </c>
      <c r="H15" t="str">
        <f t="shared" si="0"/>
        <v>0-3 Months</v>
      </c>
    </row>
    <row r="16" spans="1:16" x14ac:dyDescent="0.3">
      <c r="A16" t="s">
        <v>28</v>
      </c>
      <c r="B16" t="s">
        <v>16</v>
      </c>
      <c r="C16">
        <v>29</v>
      </c>
      <c r="D16" t="s">
        <v>13</v>
      </c>
      <c r="E16">
        <v>499</v>
      </c>
      <c r="F16">
        <v>21</v>
      </c>
      <c r="G16" t="s">
        <v>10</v>
      </c>
      <c r="H16" t="str">
        <f t="shared" si="0"/>
        <v>12+ Months</v>
      </c>
    </row>
    <row r="17" spans="1:8" x14ac:dyDescent="0.3">
      <c r="A17" t="s">
        <v>29</v>
      </c>
      <c r="B17" t="s">
        <v>16</v>
      </c>
      <c r="C17">
        <v>33</v>
      </c>
      <c r="D17" t="s">
        <v>9</v>
      </c>
      <c r="E17">
        <v>1099</v>
      </c>
      <c r="F17">
        <v>10</v>
      </c>
      <c r="G17" t="s">
        <v>19</v>
      </c>
      <c r="H17" t="str">
        <f t="shared" si="0"/>
        <v>7-12 Months</v>
      </c>
    </row>
    <row r="18" spans="1:8" x14ac:dyDescent="0.3">
      <c r="A18" t="s">
        <v>30</v>
      </c>
      <c r="B18" t="s">
        <v>8</v>
      </c>
      <c r="C18">
        <v>44</v>
      </c>
      <c r="D18" t="s">
        <v>9</v>
      </c>
      <c r="E18">
        <v>1199</v>
      </c>
      <c r="F18">
        <v>17</v>
      </c>
      <c r="G18" t="s">
        <v>10</v>
      </c>
      <c r="H18" t="str">
        <f t="shared" si="0"/>
        <v>12+ Months</v>
      </c>
    </row>
    <row r="19" spans="1:8" x14ac:dyDescent="0.3">
      <c r="A19" t="s">
        <v>31</v>
      </c>
      <c r="B19" t="s">
        <v>16</v>
      </c>
      <c r="C19">
        <v>49</v>
      </c>
      <c r="D19" t="s">
        <v>9</v>
      </c>
      <c r="E19">
        <v>1099</v>
      </c>
      <c r="F19">
        <v>24</v>
      </c>
      <c r="G19" t="s">
        <v>10</v>
      </c>
      <c r="H19" t="str">
        <f t="shared" si="0"/>
        <v>12+ Months</v>
      </c>
    </row>
    <row r="20" spans="1:8" x14ac:dyDescent="0.3">
      <c r="A20" t="s">
        <v>32</v>
      </c>
      <c r="B20" t="s">
        <v>8</v>
      </c>
      <c r="C20">
        <v>37</v>
      </c>
      <c r="D20" t="s">
        <v>18</v>
      </c>
      <c r="E20">
        <v>699</v>
      </c>
      <c r="F20">
        <v>4</v>
      </c>
      <c r="G20" t="s">
        <v>10</v>
      </c>
      <c r="H20" t="str">
        <f t="shared" si="0"/>
        <v>4-6 Months</v>
      </c>
    </row>
    <row r="21" spans="1:8" x14ac:dyDescent="0.3">
      <c r="A21" t="s">
        <v>33</v>
      </c>
      <c r="B21" t="s">
        <v>8</v>
      </c>
      <c r="C21">
        <v>41</v>
      </c>
      <c r="D21" t="s">
        <v>13</v>
      </c>
      <c r="E21">
        <v>599</v>
      </c>
      <c r="F21">
        <v>5</v>
      </c>
      <c r="G21" t="s">
        <v>19</v>
      </c>
      <c r="H21" t="str">
        <f t="shared" si="0"/>
        <v>4-6 Months</v>
      </c>
    </row>
    <row r="22" spans="1:8" x14ac:dyDescent="0.3">
      <c r="A22" t="s">
        <v>34</v>
      </c>
      <c r="B22" t="s">
        <v>16</v>
      </c>
      <c r="C22">
        <v>37</v>
      </c>
      <c r="D22" t="s">
        <v>18</v>
      </c>
      <c r="E22">
        <v>699</v>
      </c>
      <c r="F22">
        <v>8</v>
      </c>
      <c r="G22" t="s">
        <v>10</v>
      </c>
      <c r="H22" t="str">
        <f t="shared" si="0"/>
        <v>7-12 Months</v>
      </c>
    </row>
    <row r="23" spans="1:8" x14ac:dyDescent="0.3">
      <c r="A23" t="s">
        <v>35</v>
      </c>
      <c r="B23" t="s">
        <v>16</v>
      </c>
      <c r="C23">
        <v>45</v>
      </c>
      <c r="D23" t="s">
        <v>9</v>
      </c>
      <c r="E23">
        <v>1099</v>
      </c>
      <c r="F23">
        <v>8</v>
      </c>
      <c r="G23" t="s">
        <v>19</v>
      </c>
      <c r="H23" t="str">
        <f t="shared" si="0"/>
        <v>7-12 Months</v>
      </c>
    </row>
    <row r="24" spans="1:8" x14ac:dyDescent="0.3">
      <c r="A24" t="s">
        <v>36</v>
      </c>
      <c r="B24" t="s">
        <v>8</v>
      </c>
      <c r="C24">
        <v>35</v>
      </c>
      <c r="D24" t="s">
        <v>13</v>
      </c>
      <c r="E24">
        <v>599</v>
      </c>
      <c r="F24">
        <v>33</v>
      </c>
      <c r="G24" t="s">
        <v>10</v>
      </c>
      <c r="H24" t="str">
        <f t="shared" si="0"/>
        <v>12+ Months</v>
      </c>
    </row>
    <row r="25" spans="1:8" x14ac:dyDescent="0.3">
      <c r="A25" t="s">
        <v>37</v>
      </c>
      <c r="B25" t="s">
        <v>8</v>
      </c>
      <c r="C25">
        <v>48</v>
      </c>
      <c r="D25" t="s">
        <v>9</v>
      </c>
      <c r="E25">
        <v>1099</v>
      </c>
      <c r="F25">
        <v>33</v>
      </c>
      <c r="G25" t="s">
        <v>10</v>
      </c>
      <c r="H25" t="str">
        <f t="shared" si="0"/>
        <v>12+ Months</v>
      </c>
    </row>
    <row r="26" spans="1:8" x14ac:dyDescent="0.3">
      <c r="A26" t="s">
        <v>38</v>
      </c>
      <c r="B26" t="s">
        <v>8</v>
      </c>
      <c r="C26">
        <v>32</v>
      </c>
      <c r="D26" t="s">
        <v>13</v>
      </c>
      <c r="E26">
        <v>499</v>
      </c>
      <c r="F26">
        <v>21</v>
      </c>
      <c r="G26" t="s">
        <v>10</v>
      </c>
      <c r="H26" t="str">
        <f t="shared" si="0"/>
        <v>12+ Months</v>
      </c>
    </row>
    <row r="27" spans="1:8" x14ac:dyDescent="0.3">
      <c r="A27" t="s">
        <v>39</v>
      </c>
      <c r="B27" t="s">
        <v>8</v>
      </c>
      <c r="C27">
        <v>50</v>
      </c>
      <c r="D27" t="s">
        <v>18</v>
      </c>
      <c r="E27">
        <v>799</v>
      </c>
      <c r="F27">
        <v>16</v>
      </c>
      <c r="G27" t="s">
        <v>19</v>
      </c>
      <c r="H27" t="str">
        <f t="shared" si="0"/>
        <v>12+ Months</v>
      </c>
    </row>
    <row r="28" spans="1:8" x14ac:dyDescent="0.3">
      <c r="A28" t="s">
        <v>40</v>
      </c>
      <c r="B28" t="s">
        <v>8</v>
      </c>
      <c r="C28">
        <v>23</v>
      </c>
      <c r="D28" t="s">
        <v>9</v>
      </c>
      <c r="E28">
        <v>1099</v>
      </c>
      <c r="F28">
        <v>5</v>
      </c>
      <c r="G28" t="s">
        <v>10</v>
      </c>
      <c r="H28" t="str">
        <f t="shared" si="0"/>
        <v>4-6 Months</v>
      </c>
    </row>
    <row r="29" spans="1:8" x14ac:dyDescent="0.3">
      <c r="A29" t="s">
        <v>41</v>
      </c>
      <c r="B29" t="s">
        <v>8</v>
      </c>
      <c r="C29">
        <v>25</v>
      </c>
      <c r="D29" t="s">
        <v>9</v>
      </c>
      <c r="E29">
        <v>1099</v>
      </c>
      <c r="F29">
        <v>36</v>
      </c>
      <c r="G29" t="s">
        <v>19</v>
      </c>
      <c r="H29" t="str">
        <f t="shared" si="0"/>
        <v>12+ Months</v>
      </c>
    </row>
    <row r="30" spans="1:8" x14ac:dyDescent="0.3">
      <c r="A30" t="s">
        <v>42</v>
      </c>
      <c r="B30" t="s">
        <v>16</v>
      </c>
      <c r="C30">
        <v>27</v>
      </c>
      <c r="D30" t="s">
        <v>9</v>
      </c>
      <c r="E30">
        <v>1199</v>
      </c>
      <c r="F30">
        <v>13</v>
      </c>
      <c r="G30" t="s">
        <v>10</v>
      </c>
      <c r="H30" t="str">
        <f t="shared" si="0"/>
        <v>12+ Months</v>
      </c>
    </row>
    <row r="31" spans="1:8" x14ac:dyDescent="0.3">
      <c r="A31" t="s">
        <v>43</v>
      </c>
      <c r="B31" t="s">
        <v>16</v>
      </c>
      <c r="C31">
        <v>42</v>
      </c>
      <c r="D31" t="s">
        <v>9</v>
      </c>
      <c r="E31">
        <v>1099</v>
      </c>
      <c r="F31">
        <v>29</v>
      </c>
      <c r="G31" t="s">
        <v>10</v>
      </c>
      <c r="H31" t="str">
        <f t="shared" si="0"/>
        <v>12+ Months</v>
      </c>
    </row>
    <row r="32" spans="1:8" x14ac:dyDescent="0.3">
      <c r="A32" t="s">
        <v>44</v>
      </c>
      <c r="B32" t="s">
        <v>16</v>
      </c>
      <c r="C32">
        <v>24</v>
      </c>
      <c r="D32" t="s">
        <v>13</v>
      </c>
      <c r="E32">
        <v>499</v>
      </c>
      <c r="F32">
        <v>5</v>
      </c>
      <c r="G32" t="s">
        <v>19</v>
      </c>
      <c r="H32" t="str">
        <f t="shared" si="0"/>
        <v>4-6 Months</v>
      </c>
    </row>
    <row r="33" spans="1:8" x14ac:dyDescent="0.3">
      <c r="A33" t="s">
        <v>45</v>
      </c>
      <c r="B33" t="s">
        <v>8</v>
      </c>
      <c r="C33">
        <v>39</v>
      </c>
      <c r="D33" t="s">
        <v>13</v>
      </c>
      <c r="E33">
        <v>499</v>
      </c>
      <c r="F33">
        <v>5</v>
      </c>
      <c r="G33" t="s">
        <v>10</v>
      </c>
      <c r="H33" t="str">
        <f t="shared" si="0"/>
        <v>4-6 Months</v>
      </c>
    </row>
    <row r="34" spans="1:8" x14ac:dyDescent="0.3">
      <c r="A34" t="s">
        <v>46</v>
      </c>
      <c r="B34" t="s">
        <v>8</v>
      </c>
      <c r="C34">
        <v>28</v>
      </c>
      <c r="D34" t="s">
        <v>13</v>
      </c>
      <c r="E34">
        <v>499</v>
      </c>
      <c r="F34">
        <v>22</v>
      </c>
      <c r="G34" t="s">
        <v>19</v>
      </c>
      <c r="H34" t="str">
        <f t="shared" si="0"/>
        <v>12+ Months</v>
      </c>
    </row>
    <row r="35" spans="1:8" x14ac:dyDescent="0.3">
      <c r="A35" t="s">
        <v>47</v>
      </c>
      <c r="B35" t="s">
        <v>8</v>
      </c>
      <c r="C35">
        <v>29</v>
      </c>
      <c r="D35" t="s">
        <v>9</v>
      </c>
      <c r="E35">
        <v>1099</v>
      </c>
      <c r="F35">
        <v>14</v>
      </c>
      <c r="G35" t="s">
        <v>10</v>
      </c>
      <c r="H35" t="str">
        <f t="shared" si="0"/>
        <v>12+ Months</v>
      </c>
    </row>
    <row r="36" spans="1:8" x14ac:dyDescent="0.3">
      <c r="A36" t="s">
        <v>48</v>
      </c>
      <c r="B36" t="s">
        <v>16</v>
      </c>
      <c r="C36">
        <v>28</v>
      </c>
      <c r="D36" t="s">
        <v>18</v>
      </c>
      <c r="E36">
        <v>799</v>
      </c>
      <c r="F36">
        <v>13</v>
      </c>
      <c r="G36" t="s">
        <v>19</v>
      </c>
      <c r="H36" t="str">
        <f t="shared" si="0"/>
        <v>12+ Months</v>
      </c>
    </row>
    <row r="37" spans="1:8" x14ac:dyDescent="0.3">
      <c r="A37" t="s">
        <v>49</v>
      </c>
      <c r="B37" t="s">
        <v>16</v>
      </c>
      <c r="C37">
        <v>32</v>
      </c>
      <c r="D37" t="s">
        <v>18</v>
      </c>
      <c r="E37">
        <v>799</v>
      </c>
      <c r="F37">
        <v>30</v>
      </c>
      <c r="G37" t="s">
        <v>10</v>
      </c>
      <c r="H37" t="str">
        <f t="shared" si="0"/>
        <v>12+ Months</v>
      </c>
    </row>
    <row r="38" spans="1:8" x14ac:dyDescent="0.3">
      <c r="A38" t="s">
        <v>50</v>
      </c>
      <c r="B38" t="s">
        <v>8</v>
      </c>
      <c r="C38">
        <v>42</v>
      </c>
      <c r="D38" t="s">
        <v>9</v>
      </c>
      <c r="E38">
        <v>1199</v>
      </c>
      <c r="F38">
        <v>7</v>
      </c>
      <c r="G38" t="s">
        <v>19</v>
      </c>
      <c r="H38" t="str">
        <f t="shared" si="0"/>
        <v>7-12 Months</v>
      </c>
    </row>
    <row r="39" spans="1:8" x14ac:dyDescent="0.3">
      <c r="A39" t="s">
        <v>51</v>
      </c>
      <c r="B39" t="s">
        <v>16</v>
      </c>
      <c r="C39">
        <v>46</v>
      </c>
      <c r="D39" t="s">
        <v>13</v>
      </c>
      <c r="E39">
        <v>499</v>
      </c>
      <c r="F39">
        <v>13</v>
      </c>
      <c r="G39" t="s">
        <v>19</v>
      </c>
      <c r="H39" t="str">
        <f t="shared" si="0"/>
        <v>12+ Months</v>
      </c>
    </row>
    <row r="40" spans="1:8" x14ac:dyDescent="0.3">
      <c r="A40" t="s">
        <v>52</v>
      </c>
      <c r="B40" t="s">
        <v>16</v>
      </c>
      <c r="C40">
        <v>25</v>
      </c>
      <c r="D40" t="s">
        <v>18</v>
      </c>
      <c r="E40">
        <v>699</v>
      </c>
      <c r="F40">
        <v>18</v>
      </c>
      <c r="G40" t="s">
        <v>10</v>
      </c>
      <c r="H40" t="str">
        <f t="shared" si="0"/>
        <v>12+ Months</v>
      </c>
    </row>
    <row r="41" spans="1:8" x14ac:dyDescent="0.3">
      <c r="A41" t="s">
        <v>53</v>
      </c>
      <c r="B41" t="s">
        <v>8</v>
      </c>
      <c r="C41">
        <v>35</v>
      </c>
      <c r="D41" t="s">
        <v>9</v>
      </c>
      <c r="E41">
        <v>999</v>
      </c>
      <c r="F41">
        <v>4</v>
      </c>
      <c r="G41" t="s">
        <v>10</v>
      </c>
      <c r="H41" t="str">
        <f t="shared" si="0"/>
        <v>4-6 Months</v>
      </c>
    </row>
    <row r="42" spans="1:8" x14ac:dyDescent="0.3">
      <c r="A42" t="s">
        <v>54</v>
      </c>
      <c r="B42" t="s">
        <v>8</v>
      </c>
      <c r="C42">
        <v>23</v>
      </c>
      <c r="D42" t="s">
        <v>13</v>
      </c>
      <c r="E42">
        <v>499</v>
      </c>
      <c r="F42">
        <v>27</v>
      </c>
      <c r="G42" t="s">
        <v>10</v>
      </c>
      <c r="H42" t="str">
        <f t="shared" si="0"/>
        <v>12+ Months</v>
      </c>
    </row>
    <row r="43" spans="1:8" x14ac:dyDescent="0.3">
      <c r="A43" t="s">
        <v>55</v>
      </c>
      <c r="B43" t="s">
        <v>8</v>
      </c>
      <c r="C43">
        <v>48</v>
      </c>
      <c r="D43" t="s">
        <v>18</v>
      </c>
      <c r="E43">
        <v>699</v>
      </c>
      <c r="F43">
        <v>11</v>
      </c>
      <c r="G43" t="s">
        <v>19</v>
      </c>
      <c r="H43" t="str">
        <f t="shared" si="0"/>
        <v>7-12 Months</v>
      </c>
    </row>
    <row r="44" spans="1:8" x14ac:dyDescent="0.3">
      <c r="A44" t="s">
        <v>56</v>
      </c>
      <c r="B44" t="s">
        <v>16</v>
      </c>
      <c r="C44">
        <v>29</v>
      </c>
      <c r="D44" t="s">
        <v>18</v>
      </c>
      <c r="E44">
        <v>799</v>
      </c>
      <c r="F44">
        <v>28</v>
      </c>
      <c r="G44" t="s">
        <v>10</v>
      </c>
      <c r="H44" t="str">
        <f t="shared" si="0"/>
        <v>12+ Months</v>
      </c>
    </row>
    <row r="45" spans="1:8" x14ac:dyDescent="0.3">
      <c r="A45" t="s">
        <v>57</v>
      </c>
      <c r="B45" t="s">
        <v>16</v>
      </c>
      <c r="C45">
        <v>25</v>
      </c>
      <c r="D45" t="s">
        <v>13</v>
      </c>
      <c r="E45">
        <v>599</v>
      </c>
      <c r="F45">
        <v>14</v>
      </c>
      <c r="G45" t="s">
        <v>10</v>
      </c>
      <c r="H45" t="str">
        <f t="shared" si="0"/>
        <v>12+ Months</v>
      </c>
    </row>
    <row r="46" spans="1:8" x14ac:dyDescent="0.3">
      <c r="A46" t="s">
        <v>58</v>
      </c>
      <c r="B46" t="s">
        <v>8</v>
      </c>
      <c r="C46">
        <v>44</v>
      </c>
      <c r="D46" t="s">
        <v>18</v>
      </c>
      <c r="E46">
        <v>699</v>
      </c>
      <c r="F46">
        <v>4</v>
      </c>
      <c r="G46" t="s">
        <v>10</v>
      </c>
      <c r="H46" t="str">
        <f t="shared" si="0"/>
        <v>4-6 Months</v>
      </c>
    </row>
    <row r="47" spans="1:8" x14ac:dyDescent="0.3">
      <c r="A47" t="s">
        <v>59</v>
      </c>
      <c r="B47" t="s">
        <v>8</v>
      </c>
      <c r="C47">
        <v>22</v>
      </c>
      <c r="D47" t="s">
        <v>9</v>
      </c>
      <c r="E47">
        <v>999</v>
      </c>
      <c r="F47">
        <v>12</v>
      </c>
      <c r="G47" t="s">
        <v>19</v>
      </c>
      <c r="H47" t="str">
        <f t="shared" si="0"/>
        <v>7-12 Months</v>
      </c>
    </row>
    <row r="48" spans="1:8" x14ac:dyDescent="0.3">
      <c r="A48" t="s">
        <v>60</v>
      </c>
      <c r="B48" t="s">
        <v>8</v>
      </c>
      <c r="C48">
        <v>42</v>
      </c>
      <c r="D48" t="s">
        <v>13</v>
      </c>
      <c r="E48">
        <v>599</v>
      </c>
      <c r="F48">
        <v>8</v>
      </c>
      <c r="G48" t="s">
        <v>10</v>
      </c>
      <c r="H48" t="str">
        <f t="shared" si="0"/>
        <v>7-12 Months</v>
      </c>
    </row>
    <row r="49" spans="1:8" x14ac:dyDescent="0.3">
      <c r="A49" t="s">
        <v>61</v>
      </c>
      <c r="B49" t="s">
        <v>8</v>
      </c>
      <c r="C49">
        <v>39</v>
      </c>
      <c r="D49" t="s">
        <v>9</v>
      </c>
      <c r="E49">
        <v>999</v>
      </c>
      <c r="F49">
        <v>6</v>
      </c>
      <c r="G49" t="s">
        <v>10</v>
      </c>
      <c r="H49" t="str">
        <f t="shared" si="0"/>
        <v>4-6 Months</v>
      </c>
    </row>
    <row r="50" spans="1:8" x14ac:dyDescent="0.3">
      <c r="A50" t="s">
        <v>62</v>
      </c>
      <c r="B50" t="s">
        <v>16</v>
      </c>
      <c r="C50">
        <v>50</v>
      </c>
      <c r="D50" t="s">
        <v>18</v>
      </c>
      <c r="E50">
        <v>699</v>
      </c>
      <c r="F50">
        <v>21</v>
      </c>
      <c r="G50" t="s">
        <v>10</v>
      </c>
      <c r="H50" t="str">
        <f t="shared" si="0"/>
        <v>12+ Months</v>
      </c>
    </row>
    <row r="51" spans="1:8" x14ac:dyDescent="0.3">
      <c r="A51" t="s">
        <v>63</v>
      </c>
      <c r="B51" t="s">
        <v>16</v>
      </c>
      <c r="C51">
        <v>25</v>
      </c>
      <c r="D51" t="s">
        <v>9</v>
      </c>
      <c r="E51">
        <v>1199</v>
      </c>
      <c r="F51">
        <v>20</v>
      </c>
      <c r="G51" t="s">
        <v>10</v>
      </c>
      <c r="H51" t="str">
        <f t="shared" si="0"/>
        <v>12+ Months</v>
      </c>
    </row>
    <row r="52" spans="1:8" x14ac:dyDescent="0.3">
      <c r="A52" t="s">
        <v>64</v>
      </c>
      <c r="B52" t="s">
        <v>8</v>
      </c>
      <c r="C52">
        <v>21</v>
      </c>
      <c r="D52" t="s">
        <v>18</v>
      </c>
      <c r="E52">
        <v>699</v>
      </c>
      <c r="F52">
        <v>5</v>
      </c>
      <c r="G52" t="s">
        <v>10</v>
      </c>
      <c r="H52" t="str">
        <f t="shared" si="0"/>
        <v>4-6 Months</v>
      </c>
    </row>
    <row r="53" spans="1:8" x14ac:dyDescent="0.3">
      <c r="A53" t="s">
        <v>65</v>
      </c>
      <c r="B53" t="s">
        <v>16</v>
      </c>
      <c r="C53">
        <v>25</v>
      </c>
      <c r="D53" t="s">
        <v>18</v>
      </c>
      <c r="E53">
        <v>699</v>
      </c>
      <c r="F53">
        <v>16</v>
      </c>
      <c r="G53" t="s">
        <v>10</v>
      </c>
      <c r="H53" t="str">
        <f t="shared" si="0"/>
        <v>12+ Months</v>
      </c>
    </row>
    <row r="54" spans="1:8" x14ac:dyDescent="0.3">
      <c r="A54" t="s">
        <v>66</v>
      </c>
      <c r="B54" t="s">
        <v>8</v>
      </c>
      <c r="C54">
        <v>35</v>
      </c>
      <c r="D54" t="s">
        <v>9</v>
      </c>
      <c r="E54">
        <v>1199</v>
      </c>
      <c r="F54">
        <v>20</v>
      </c>
      <c r="G54" t="s">
        <v>10</v>
      </c>
      <c r="H54" t="str">
        <f t="shared" si="0"/>
        <v>12+ Months</v>
      </c>
    </row>
    <row r="55" spans="1:8" x14ac:dyDescent="0.3">
      <c r="A55" t="s">
        <v>67</v>
      </c>
      <c r="B55" t="s">
        <v>8</v>
      </c>
      <c r="C55">
        <v>42</v>
      </c>
      <c r="D55" t="s">
        <v>9</v>
      </c>
      <c r="E55">
        <v>1099</v>
      </c>
      <c r="F55">
        <v>7</v>
      </c>
      <c r="G55" t="s">
        <v>10</v>
      </c>
      <c r="H55" t="str">
        <f t="shared" si="0"/>
        <v>7-12 Months</v>
      </c>
    </row>
    <row r="56" spans="1:8" x14ac:dyDescent="0.3">
      <c r="A56" t="s">
        <v>68</v>
      </c>
      <c r="B56" t="s">
        <v>8</v>
      </c>
      <c r="C56">
        <v>29</v>
      </c>
      <c r="D56" t="s">
        <v>13</v>
      </c>
      <c r="E56">
        <v>499</v>
      </c>
      <c r="F56">
        <v>36</v>
      </c>
      <c r="G56" t="s">
        <v>19</v>
      </c>
      <c r="H56" t="str">
        <f t="shared" si="0"/>
        <v>12+ Months</v>
      </c>
    </row>
    <row r="57" spans="1:8" x14ac:dyDescent="0.3">
      <c r="A57" t="s">
        <v>69</v>
      </c>
      <c r="B57" t="s">
        <v>16</v>
      </c>
      <c r="C57">
        <v>40</v>
      </c>
      <c r="D57" t="s">
        <v>13</v>
      </c>
      <c r="E57">
        <v>599</v>
      </c>
      <c r="F57">
        <v>14</v>
      </c>
      <c r="G57" t="s">
        <v>10</v>
      </c>
      <c r="H57" t="str">
        <f t="shared" si="0"/>
        <v>12+ Months</v>
      </c>
    </row>
    <row r="58" spans="1:8" x14ac:dyDescent="0.3">
      <c r="A58" t="s">
        <v>70</v>
      </c>
      <c r="B58" t="s">
        <v>16</v>
      </c>
      <c r="C58">
        <v>37</v>
      </c>
      <c r="D58" t="s">
        <v>18</v>
      </c>
      <c r="E58">
        <v>799</v>
      </c>
      <c r="F58">
        <v>4</v>
      </c>
      <c r="G58" t="s">
        <v>19</v>
      </c>
      <c r="H58" t="str">
        <f t="shared" si="0"/>
        <v>4-6 Months</v>
      </c>
    </row>
    <row r="59" spans="1:8" x14ac:dyDescent="0.3">
      <c r="A59" t="s">
        <v>71</v>
      </c>
      <c r="B59" t="s">
        <v>16</v>
      </c>
      <c r="C59">
        <v>47</v>
      </c>
      <c r="D59" t="s">
        <v>18</v>
      </c>
      <c r="E59">
        <v>699</v>
      </c>
      <c r="F59">
        <v>1</v>
      </c>
      <c r="G59" t="s">
        <v>19</v>
      </c>
      <c r="H59" t="str">
        <f t="shared" si="0"/>
        <v>0-3 Months</v>
      </c>
    </row>
    <row r="60" spans="1:8" x14ac:dyDescent="0.3">
      <c r="A60" t="s">
        <v>72</v>
      </c>
      <c r="B60" t="s">
        <v>8</v>
      </c>
      <c r="C60">
        <v>41</v>
      </c>
      <c r="D60" t="s">
        <v>18</v>
      </c>
      <c r="E60">
        <v>699</v>
      </c>
      <c r="F60">
        <v>29</v>
      </c>
      <c r="G60" t="s">
        <v>10</v>
      </c>
      <c r="H60" t="str">
        <f t="shared" si="0"/>
        <v>12+ Months</v>
      </c>
    </row>
    <row r="61" spans="1:8" x14ac:dyDescent="0.3">
      <c r="A61" t="s">
        <v>73</v>
      </c>
      <c r="B61" t="s">
        <v>16</v>
      </c>
      <c r="C61">
        <v>38</v>
      </c>
      <c r="D61" t="s">
        <v>13</v>
      </c>
      <c r="E61">
        <v>499</v>
      </c>
      <c r="F61">
        <v>5</v>
      </c>
      <c r="G61" t="s">
        <v>10</v>
      </c>
      <c r="H61" t="str">
        <f t="shared" si="0"/>
        <v>4-6 Months</v>
      </c>
    </row>
    <row r="62" spans="1:8" x14ac:dyDescent="0.3">
      <c r="A62" t="s">
        <v>74</v>
      </c>
      <c r="B62" t="s">
        <v>8</v>
      </c>
      <c r="C62">
        <v>38</v>
      </c>
      <c r="D62" t="s">
        <v>13</v>
      </c>
      <c r="E62">
        <v>599</v>
      </c>
      <c r="F62">
        <v>36</v>
      </c>
      <c r="G62" t="s">
        <v>19</v>
      </c>
      <c r="H62" t="str">
        <f t="shared" si="0"/>
        <v>12+ Months</v>
      </c>
    </row>
    <row r="63" spans="1:8" x14ac:dyDescent="0.3">
      <c r="A63" t="s">
        <v>75</v>
      </c>
      <c r="B63" t="s">
        <v>8</v>
      </c>
      <c r="C63">
        <v>22</v>
      </c>
      <c r="D63" t="s">
        <v>18</v>
      </c>
      <c r="E63">
        <v>799</v>
      </c>
      <c r="F63">
        <v>3</v>
      </c>
      <c r="G63" t="s">
        <v>10</v>
      </c>
      <c r="H63" t="str">
        <f t="shared" si="0"/>
        <v>0-3 Months</v>
      </c>
    </row>
    <row r="64" spans="1:8" x14ac:dyDescent="0.3">
      <c r="A64" t="s">
        <v>76</v>
      </c>
      <c r="B64" t="s">
        <v>8</v>
      </c>
      <c r="C64">
        <v>42</v>
      </c>
      <c r="D64" t="s">
        <v>13</v>
      </c>
      <c r="E64">
        <v>499</v>
      </c>
      <c r="F64">
        <v>23</v>
      </c>
      <c r="G64" t="s">
        <v>10</v>
      </c>
      <c r="H64" t="str">
        <f t="shared" si="0"/>
        <v>12+ Months</v>
      </c>
    </row>
    <row r="65" spans="1:8" x14ac:dyDescent="0.3">
      <c r="A65" t="s">
        <v>77</v>
      </c>
      <c r="B65" t="s">
        <v>16</v>
      </c>
      <c r="C65">
        <v>40</v>
      </c>
      <c r="D65" t="s">
        <v>9</v>
      </c>
      <c r="E65">
        <v>999</v>
      </c>
      <c r="F65">
        <v>16</v>
      </c>
      <c r="G65" t="s">
        <v>10</v>
      </c>
      <c r="H65" t="str">
        <f t="shared" si="0"/>
        <v>12+ Months</v>
      </c>
    </row>
    <row r="66" spans="1:8" x14ac:dyDescent="0.3">
      <c r="A66" t="s">
        <v>78</v>
      </c>
      <c r="B66" t="s">
        <v>8</v>
      </c>
      <c r="C66">
        <v>49</v>
      </c>
      <c r="D66" t="s">
        <v>18</v>
      </c>
      <c r="E66">
        <v>699</v>
      </c>
      <c r="F66">
        <v>12</v>
      </c>
      <c r="G66" t="s">
        <v>10</v>
      </c>
      <c r="H66" t="str">
        <f t="shared" si="0"/>
        <v>7-12 Months</v>
      </c>
    </row>
    <row r="67" spans="1:8" x14ac:dyDescent="0.3">
      <c r="A67" t="s">
        <v>79</v>
      </c>
      <c r="B67" t="s">
        <v>16</v>
      </c>
      <c r="C67">
        <v>46</v>
      </c>
      <c r="D67" t="s">
        <v>18</v>
      </c>
      <c r="E67">
        <v>699</v>
      </c>
      <c r="F67">
        <v>18</v>
      </c>
      <c r="G67" t="s">
        <v>19</v>
      </c>
      <c r="H67" t="str">
        <f t="shared" ref="H67:H101" si="1">IF(F67&lt;=3,"0-3 Months",
IF(F67&lt;=6,"4-6 Months",
IF(F67&lt;=12,"7-12 Months","12+ Months")))</f>
        <v>12+ Months</v>
      </c>
    </row>
    <row r="68" spans="1:8" x14ac:dyDescent="0.3">
      <c r="A68" t="s">
        <v>80</v>
      </c>
      <c r="B68" t="s">
        <v>8</v>
      </c>
      <c r="C68">
        <v>33</v>
      </c>
      <c r="D68" t="s">
        <v>13</v>
      </c>
      <c r="E68">
        <v>599</v>
      </c>
      <c r="F68">
        <v>15</v>
      </c>
      <c r="G68" t="s">
        <v>19</v>
      </c>
      <c r="H68" t="str">
        <f t="shared" si="1"/>
        <v>12+ Months</v>
      </c>
    </row>
    <row r="69" spans="1:8" x14ac:dyDescent="0.3">
      <c r="A69" t="s">
        <v>81</v>
      </c>
      <c r="B69" t="s">
        <v>16</v>
      </c>
      <c r="C69">
        <v>32</v>
      </c>
      <c r="D69" t="s">
        <v>18</v>
      </c>
      <c r="E69">
        <v>699</v>
      </c>
      <c r="F69">
        <v>15</v>
      </c>
      <c r="G69" t="s">
        <v>19</v>
      </c>
      <c r="H69" t="str">
        <f t="shared" si="1"/>
        <v>12+ Months</v>
      </c>
    </row>
    <row r="70" spans="1:8" x14ac:dyDescent="0.3">
      <c r="A70" t="s">
        <v>82</v>
      </c>
      <c r="B70" t="s">
        <v>8</v>
      </c>
      <c r="C70">
        <v>33</v>
      </c>
      <c r="D70" t="s">
        <v>18</v>
      </c>
      <c r="E70">
        <v>799</v>
      </c>
      <c r="F70">
        <v>5</v>
      </c>
      <c r="G70" t="s">
        <v>10</v>
      </c>
      <c r="H70" t="str">
        <f t="shared" si="1"/>
        <v>4-6 Months</v>
      </c>
    </row>
    <row r="71" spans="1:8" x14ac:dyDescent="0.3">
      <c r="A71" t="s">
        <v>83</v>
      </c>
      <c r="B71" t="s">
        <v>16</v>
      </c>
      <c r="C71">
        <v>32</v>
      </c>
      <c r="D71" t="s">
        <v>9</v>
      </c>
      <c r="E71">
        <v>1199</v>
      </c>
      <c r="F71">
        <v>26</v>
      </c>
      <c r="G71" t="s">
        <v>10</v>
      </c>
      <c r="H71" t="str">
        <f t="shared" si="1"/>
        <v>12+ Months</v>
      </c>
    </row>
    <row r="72" spans="1:8" x14ac:dyDescent="0.3">
      <c r="A72" t="s">
        <v>84</v>
      </c>
      <c r="B72" t="s">
        <v>16</v>
      </c>
      <c r="C72">
        <v>21</v>
      </c>
      <c r="D72" t="s">
        <v>13</v>
      </c>
      <c r="E72">
        <v>599</v>
      </c>
      <c r="F72">
        <v>12</v>
      </c>
      <c r="G72" t="s">
        <v>10</v>
      </c>
      <c r="H72" t="str">
        <f t="shared" si="1"/>
        <v>7-12 Months</v>
      </c>
    </row>
    <row r="73" spans="1:8" x14ac:dyDescent="0.3">
      <c r="A73" t="s">
        <v>85</v>
      </c>
      <c r="B73" t="s">
        <v>16</v>
      </c>
      <c r="C73">
        <v>22</v>
      </c>
      <c r="D73" t="s">
        <v>13</v>
      </c>
      <c r="E73">
        <v>599</v>
      </c>
      <c r="F73">
        <v>23</v>
      </c>
      <c r="G73" t="s">
        <v>10</v>
      </c>
      <c r="H73" t="str">
        <f t="shared" si="1"/>
        <v>12+ Months</v>
      </c>
    </row>
    <row r="74" spans="1:8" x14ac:dyDescent="0.3">
      <c r="A74" t="s">
        <v>86</v>
      </c>
      <c r="B74" t="s">
        <v>16</v>
      </c>
      <c r="C74">
        <v>34</v>
      </c>
      <c r="D74" t="s">
        <v>9</v>
      </c>
      <c r="E74">
        <v>1199</v>
      </c>
      <c r="F74">
        <v>8</v>
      </c>
      <c r="G74" t="s">
        <v>19</v>
      </c>
      <c r="H74" t="str">
        <f t="shared" si="1"/>
        <v>7-12 Months</v>
      </c>
    </row>
    <row r="75" spans="1:8" x14ac:dyDescent="0.3">
      <c r="A75" t="s">
        <v>87</v>
      </c>
      <c r="B75" t="s">
        <v>8</v>
      </c>
      <c r="C75">
        <v>29</v>
      </c>
      <c r="D75" t="s">
        <v>13</v>
      </c>
      <c r="E75">
        <v>599</v>
      </c>
      <c r="F75">
        <v>1</v>
      </c>
      <c r="G75" t="s">
        <v>19</v>
      </c>
      <c r="H75" t="str">
        <f t="shared" si="1"/>
        <v>0-3 Months</v>
      </c>
    </row>
    <row r="76" spans="1:8" x14ac:dyDescent="0.3">
      <c r="A76" t="s">
        <v>88</v>
      </c>
      <c r="B76" t="s">
        <v>8</v>
      </c>
      <c r="C76">
        <v>32</v>
      </c>
      <c r="D76" t="s">
        <v>18</v>
      </c>
      <c r="E76">
        <v>699</v>
      </c>
      <c r="F76">
        <v>22</v>
      </c>
      <c r="G76" t="s">
        <v>10</v>
      </c>
      <c r="H76" t="str">
        <f t="shared" si="1"/>
        <v>12+ Months</v>
      </c>
    </row>
    <row r="77" spans="1:8" x14ac:dyDescent="0.3">
      <c r="A77" t="s">
        <v>89</v>
      </c>
      <c r="B77" t="s">
        <v>8</v>
      </c>
      <c r="C77">
        <v>44</v>
      </c>
      <c r="D77" t="s">
        <v>18</v>
      </c>
      <c r="E77">
        <v>799</v>
      </c>
      <c r="F77">
        <v>27</v>
      </c>
      <c r="G77" t="s">
        <v>10</v>
      </c>
      <c r="H77" t="str">
        <f t="shared" si="1"/>
        <v>12+ Months</v>
      </c>
    </row>
    <row r="78" spans="1:8" x14ac:dyDescent="0.3">
      <c r="A78" t="s">
        <v>90</v>
      </c>
      <c r="B78" t="s">
        <v>16</v>
      </c>
      <c r="C78">
        <v>38</v>
      </c>
      <c r="D78" t="s">
        <v>13</v>
      </c>
      <c r="E78">
        <v>499</v>
      </c>
      <c r="F78">
        <v>27</v>
      </c>
      <c r="G78" t="s">
        <v>10</v>
      </c>
      <c r="H78" t="str">
        <f t="shared" si="1"/>
        <v>12+ Months</v>
      </c>
    </row>
    <row r="79" spans="1:8" x14ac:dyDescent="0.3">
      <c r="A79" t="s">
        <v>91</v>
      </c>
      <c r="B79" t="s">
        <v>16</v>
      </c>
      <c r="C79">
        <v>42</v>
      </c>
      <c r="D79" t="s">
        <v>9</v>
      </c>
      <c r="E79">
        <v>999</v>
      </c>
      <c r="F79">
        <v>20</v>
      </c>
      <c r="G79" t="s">
        <v>10</v>
      </c>
      <c r="H79" t="str">
        <f t="shared" si="1"/>
        <v>12+ Months</v>
      </c>
    </row>
    <row r="80" spans="1:8" x14ac:dyDescent="0.3">
      <c r="A80" t="s">
        <v>92</v>
      </c>
      <c r="B80" t="s">
        <v>8</v>
      </c>
      <c r="C80">
        <v>30</v>
      </c>
      <c r="D80" t="s">
        <v>18</v>
      </c>
      <c r="E80">
        <v>699</v>
      </c>
      <c r="F80">
        <v>28</v>
      </c>
      <c r="G80" t="s">
        <v>10</v>
      </c>
      <c r="H80" t="str">
        <f t="shared" si="1"/>
        <v>12+ Months</v>
      </c>
    </row>
    <row r="81" spans="1:8" x14ac:dyDescent="0.3">
      <c r="A81" t="s">
        <v>93</v>
      </c>
      <c r="B81" t="s">
        <v>16</v>
      </c>
      <c r="C81">
        <v>35</v>
      </c>
      <c r="D81" t="s">
        <v>18</v>
      </c>
      <c r="E81">
        <v>799</v>
      </c>
      <c r="F81">
        <v>14</v>
      </c>
      <c r="G81" t="s">
        <v>10</v>
      </c>
      <c r="H81" t="str">
        <f t="shared" si="1"/>
        <v>12+ Months</v>
      </c>
    </row>
    <row r="82" spans="1:8" x14ac:dyDescent="0.3">
      <c r="A82" t="s">
        <v>94</v>
      </c>
      <c r="B82" t="s">
        <v>8</v>
      </c>
      <c r="C82">
        <v>42</v>
      </c>
      <c r="D82" t="s">
        <v>13</v>
      </c>
      <c r="E82">
        <v>599</v>
      </c>
      <c r="F82">
        <v>33</v>
      </c>
      <c r="G82" t="s">
        <v>10</v>
      </c>
      <c r="H82" t="str">
        <f t="shared" si="1"/>
        <v>12+ Months</v>
      </c>
    </row>
    <row r="83" spans="1:8" x14ac:dyDescent="0.3">
      <c r="A83" t="s">
        <v>95</v>
      </c>
      <c r="B83" t="s">
        <v>16</v>
      </c>
      <c r="C83">
        <v>23</v>
      </c>
      <c r="D83" t="s">
        <v>13</v>
      </c>
      <c r="E83">
        <v>599</v>
      </c>
      <c r="F83">
        <v>15</v>
      </c>
      <c r="G83" t="s">
        <v>10</v>
      </c>
      <c r="H83" t="str">
        <f t="shared" si="1"/>
        <v>12+ Months</v>
      </c>
    </row>
    <row r="84" spans="1:8" x14ac:dyDescent="0.3">
      <c r="A84" t="s">
        <v>96</v>
      </c>
      <c r="B84" t="s">
        <v>8</v>
      </c>
      <c r="C84">
        <v>21</v>
      </c>
      <c r="D84" t="s">
        <v>13</v>
      </c>
      <c r="E84">
        <v>499</v>
      </c>
      <c r="F84">
        <v>31</v>
      </c>
      <c r="G84" t="s">
        <v>10</v>
      </c>
      <c r="H84" t="str">
        <f t="shared" si="1"/>
        <v>12+ Months</v>
      </c>
    </row>
    <row r="85" spans="1:8" x14ac:dyDescent="0.3">
      <c r="A85" t="s">
        <v>97</v>
      </c>
      <c r="B85" t="s">
        <v>8</v>
      </c>
      <c r="C85">
        <v>35</v>
      </c>
      <c r="D85" t="s">
        <v>18</v>
      </c>
      <c r="E85">
        <v>699</v>
      </c>
      <c r="F85">
        <v>25</v>
      </c>
      <c r="G85" t="s">
        <v>10</v>
      </c>
      <c r="H85" t="str">
        <f t="shared" si="1"/>
        <v>12+ Months</v>
      </c>
    </row>
    <row r="86" spans="1:8" x14ac:dyDescent="0.3">
      <c r="A86" t="s">
        <v>98</v>
      </c>
      <c r="B86" t="s">
        <v>8</v>
      </c>
      <c r="C86">
        <v>25</v>
      </c>
      <c r="D86" t="s">
        <v>9</v>
      </c>
      <c r="E86">
        <v>1199</v>
      </c>
      <c r="F86">
        <v>1</v>
      </c>
      <c r="G86" t="s">
        <v>10</v>
      </c>
      <c r="H86" t="str">
        <f t="shared" si="1"/>
        <v>0-3 Months</v>
      </c>
    </row>
    <row r="87" spans="1:8" x14ac:dyDescent="0.3">
      <c r="A87" t="s">
        <v>99</v>
      </c>
      <c r="B87" t="s">
        <v>8</v>
      </c>
      <c r="C87">
        <v>45</v>
      </c>
      <c r="D87" t="s">
        <v>18</v>
      </c>
      <c r="E87">
        <v>699</v>
      </c>
      <c r="F87">
        <v>12</v>
      </c>
      <c r="G87" t="s">
        <v>10</v>
      </c>
      <c r="H87" t="str">
        <f t="shared" si="1"/>
        <v>7-12 Months</v>
      </c>
    </row>
    <row r="88" spans="1:8" x14ac:dyDescent="0.3">
      <c r="A88" t="s">
        <v>100</v>
      </c>
      <c r="B88" t="s">
        <v>16</v>
      </c>
      <c r="C88">
        <v>22</v>
      </c>
      <c r="D88" t="s">
        <v>9</v>
      </c>
      <c r="E88">
        <v>999</v>
      </c>
      <c r="F88">
        <v>8</v>
      </c>
      <c r="G88" t="s">
        <v>10</v>
      </c>
      <c r="H88" t="str">
        <f t="shared" si="1"/>
        <v>7-12 Months</v>
      </c>
    </row>
    <row r="89" spans="1:8" x14ac:dyDescent="0.3">
      <c r="A89" t="s">
        <v>101</v>
      </c>
      <c r="B89" t="s">
        <v>16</v>
      </c>
      <c r="C89">
        <v>42</v>
      </c>
      <c r="D89" t="s">
        <v>9</v>
      </c>
      <c r="E89">
        <v>1199</v>
      </c>
      <c r="F89">
        <v>21</v>
      </c>
      <c r="G89" t="s">
        <v>10</v>
      </c>
      <c r="H89" t="str">
        <f t="shared" si="1"/>
        <v>12+ Months</v>
      </c>
    </row>
    <row r="90" spans="1:8" x14ac:dyDescent="0.3">
      <c r="A90" t="s">
        <v>102</v>
      </c>
      <c r="B90" t="s">
        <v>16</v>
      </c>
      <c r="C90">
        <v>40</v>
      </c>
      <c r="D90" t="s">
        <v>9</v>
      </c>
      <c r="E90">
        <v>1199</v>
      </c>
      <c r="F90">
        <v>28</v>
      </c>
      <c r="G90" t="s">
        <v>10</v>
      </c>
      <c r="H90" t="str">
        <f t="shared" si="1"/>
        <v>12+ Months</v>
      </c>
    </row>
    <row r="91" spans="1:8" x14ac:dyDescent="0.3">
      <c r="A91" t="s">
        <v>103</v>
      </c>
      <c r="B91" t="s">
        <v>16</v>
      </c>
      <c r="C91">
        <v>49</v>
      </c>
      <c r="D91" t="s">
        <v>13</v>
      </c>
      <c r="E91">
        <v>599</v>
      </c>
      <c r="F91">
        <v>29</v>
      </c>
      <c r="G91" t="s">
        <v>10</v>
      </c>
      <c r="H91" t="str">
        <f t="shared" si="1"/>
        <v>12+ Months</v>
      </c>
    </row>
    <row r="92" spans="1:8" x14ac:dyDescent="0.3">
      <c r="A92" t="s">
        <v>104</v>
      </c>
      <c r="B92" t="s">
        <v>8</v>
      </c>
      <c r="C92">
        <v>47</v>
      </c>
      <c r="D92" t="s">
        <v>9</v>
      </c>
      <c r="E92">
        <v>1099</v>
      </c>
      <c r="F92">
        <v>34</v>
      </c>
      <c r="G92" t="s">
        <v>10</v>
      </c>
      <c r="H92" t="str">
        <f t="shared" si="1"/>
        <v>12+ Months</v>
      </c>
    </row>
    <row r="93" spans="1:8" x14ac:dyDescent="0.3">
      <c r="A93" t="s">
        <v>105</v>
      </c>
      <c r="B93" t="s">
        <v>8</v>
      </c>
      <c r="C93">
        <v>29</v>
      </c>
      <c r="D93" t="s">
        <v>18</v>
      </c>
      <c r="E93">
        <v>699</v>
      </c>
      <c r="F93">
        <v>19</v>
      </c>
      <c r="G93" t="s">
        <v>10</v>
      </c>
      <c r="H93" t="str">
        <f t="shared" si="1"/>
        <v>12+ Months</v>
      </c>
    </row>
    <row r="94" spans="1:8" x14ac:dyDescent="0.3">
      <c r="A94" t="s">
        <v>106</v>
      </c>
      <c r="B94" t="s">
        <v>16</v>
      </c>
      <c r="C94">
        <v>31</v>
      </c>
      <c r="D94" t="s">
        <v>9</v>
      </c>
      <c r="E94">
        <v>999</v>
      </c>
      <c r="F94">
        <v>9</v>
      </c>
      <c r="G94" t="s">
        <v>19</v>
      </c>
      <c r="H94" t="str">
        <f t="shared" si="1"/>
        <v>7-12 Months</v>
      </c>
    </row>
    <row r="95" spans="1:8" x14ac:dyDescent="0.3">
      <c r="A95" t="s">
        <v>107</v>
      </c>
      <c r="B95" t="s">
        <v>16</v>
      </c>
      <c r="C95">
        <v>43</v>
      </c>
      <c r="D95" t="s">
        <v>13</v>
      </c>
      <c r="E95">
        <v>499</v>
      </c>
      <c r="F95">
        <v>5</v>
      </c>
      <c r="G95" t="s">
        <v>10</v>
      </c>
      <c r="H95" t="str">
        <f t="shared" si="1"/>
        <v>4-6 Months</v>
      </c>
    </row>
    <row r="96" spans="1:8" x14ac:dyDescent="0.3">
      <c r="A96" t="s">
        <v>108</v>
      </c>
      <c r="B96" t="s">
        <v>16</v>
      </c>
      <c r="C96">
        <v>38</v>
      </c>
      <c r="D96" t="s">
        <v>18</v>
      </c>
      <c r="E96">
        <v>799</v>
      </c>
      <c r="F96">
        <v>4</v>
      </c>
      <c r="G96" t="s">
        <v>19</v>
      </c>
      <c r="H96" t="str">
        <f t="shared" si="1"/>
        <v>4-6 Months</v>
      </c>
    </row>
    <row r="97" spans="1:8" x14ac:dyDescent="0.3">
      <c r="A97" t="s">
        <v>109</v>
      </c>
      <c r="B97" t="s">
        <v>16</v>
      </c>
      <c r="C97">
        <v>33</v>
      </c>
      <c r="D97" t="s">
        <v>9</v>
      </c>
      <c r="E97">
        <v>1199</v>
      </c>
      <c r="F97">
        <v>2</v>
      </c>
      <c r="G97" t="s">
        <v>10</v>
      </c>
      <c r="H97" t="str">
        <f t="shared" si="1"/>
        <v>0-3 Months</v>
      </c>
    </row>
    <row r="98" spans="1:8" x14ac:dyDescent="0.3">
      <c r="A98" t="s">
        <v>110</v>
      </c>
      <c r="B98" t="s">
        <v>16</v>
      </c>
      <c r="C98">
        <v>36</v>
      </c>
      <c r="D98" t="s">
        <v>13</v>
      </c>
      <c r="E98">
        <v>599</v>
      </c>
      <c r="F98">
        <v>20</v>
      </c>
      <c r="G98" t="s">
        <v>10</v>
      </c>
      <c r="H98" t="str">
        <f t="shared" si="1"/>
        <v>12+ Months</v>
      </c>
    </row>
    <row r="99" spans="1:8" x14ac:dyDescent="0.3">
      <c r="A99" t="s">
        <v>111</v>
      </c>
      <c r="B99" t="s">
        <v>16</v>
      </c>
      <c r="C99">
        <v>38</v>
      </c>
      <c r="D99" t="s">
        <v>9</v>
      </c>
      <c r="E99">
        <v>1199</v>
      </c>
      <c r="F99">
        <v>35</v>
      </c>
      <c r="G99" t="s">
        <v>10</v>
      </c>
      <c r="H99" t="str">
        <f t="shared" si="1"/>
        <v>12+ Months</v>
      </c>
    </row>
    <row r="100" spans="1:8" x14ac:dyDescent="0.3">
      <c r="A100" t="s">
        <v>112</v>
      </c>
      <c r="B100" t="s">
        <v>8</v>
      </c>
      <c r="C100">
        <v>36</v>
      </c>
      <c r="D100" t="s">
        <v>13</v>
      </c>
      <c r="E100">
        <v>599</v>
      </c>
      <c r="F100">
        <v>28</v>
      </c>
      <c r="G100" t="s">
        <v>10</v>
      </c>
      <c r="H100" t="str">
        <f t="shared" si="1"/>
        <v>12+ Months</v>
      </c>
    </row>
    <row r="101" spans="1:8" x14ac:dyDescent="0.3">
      <c r="A101" t="s">
        <v>113</v>
      </c>
      <c r="B101" t="s">
        <v>16</v>
      </c>
      <c r="C101">
        <v>31</v>
      </c>
      <c r="D101" t="s">
        <v>9</v>
      </c>
      <c r="E101">
        <v>1199</v>
      </c>
      <c r="F101">
        <v>26</v>
      </c>
      <c r="G101" t="s">
        <v>10</v>
      </c>
      <c r="H101" t="str">
        <f t="shared" si="1"/>
        <v>12+ Months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Sheet1</vt:lpstr>
      <vt:lpstr>FUTURE_DS_Task2_Customer_Churn_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narikalapa</cp:lastModifiedBy>
  <dcterms:created xsi:type="dcterms:W3CDTF">2026-02-23T15:29:13Z</dcterms:created>
  <dcterms:modified xsi:type="dcterms:W3CDTF">2026-02-24T14:24:39Z</dcterms:modified>
</cp:coreProperties>
</file>